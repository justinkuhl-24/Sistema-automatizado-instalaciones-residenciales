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OneDrive\Escritorio\TESIS\tesis\tesis solo\cubicacion manual\"/>
    </mc:Choice>
  </mc:AlternateContent>
  <xr:revisionPtr revIDLastSave="0" documentId="13_ncr:1_{6697A7CF-BE87-4E8A-A43E-7A50DDC2B41C}" xr6:coauthVersionLast="47" xr6:coauthVersionMax="47" xr10:uidLastSave="{00000000-0000-0000-0000-000000000000}"/>
  <bookViews>
    <workbookView xWindow="-120" yWindow="-120" windowWidth="20730" windowHeight="11040" xr2:uid="{C392A992-E85F-4BDB-8450-E9FBD88D9785}"/>
  </bookViews>
  <sheets>
    <sheet name="vivienda 1" sheetId="1" r:id="rId1"/>
    <sheet name="vivienda 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2" l="1"/>
  <c r="F46" i="1"/>
</calcChain>
</file>

<file path=xl/sharedStrings.xml><?xml version="1.0" encoding="utf-8"?>
<sst xmlns="http://schemas.openxmlformats.org/spreadsheetml/2006/main" count="438" uniqueCount="214">
  <si>
    <t>Material</t>
  </si>
  <si>
    <t>Cantidad</t>
  </si>
  <si>
    <t>Portalampara oval tipo plafón E27 250V - Lexo</t>
  </si>
  <si>
    <t>Interruptor 9/15 10A 250V - Bticino</t>
  </si>
  <si>
    <t>Interurptor 9/12 10A 250V - Bticino</t>
  </si>
  <si>
    <t>Caja de derivación chuqui PVC 12x8,5cm - Schneider electric</t>
  </si>
  <si>
    <t>Caja de derivación octogonal (luminarias) 100x41mm 12 salidas - Hoffens</t>
  </si>
  <si>
    <t>Tapa ciega redonda PVC (cajas octogonales) - Epem</t>
  </si>
  <si>
    <t>Tapa ciega rectangular 12x8,5cm - Schneider electric</t>
  </si>
  <si>
    <t>Canaleta 20x10mm, 2m - Grantt</t>
  </si>
  <si>
    <t>Unión copla para canaleta PVC 20x10mm - Grantt</t>
  </si>
  <si>
    <t>Curva internas 90° para canaleta PVC 20x10mm - Grantt</t>
  </si>
  <si>
    <t>Curvas planas 90° para canaleta PVC 20x10mm -Grantt</t>
  </si>
  <si>
    <t xml:space="preserve">Cubicacion de materiales </t>
  </si>
  <si>
    <t>Circuito de iluminación (forrado de interior Volcanita)</t>
  </si>
  <si>
    <t>Conector conico N°44 amarillo  - Mec</t>
  </si>
  <si>
    <t>Cinta aislante 20m- 3M</t>
  </si>
  <si>
    <t>Tarugo paloma 6mm - Fixser</t>
  </si>
  <si>
    <t>Conductor H07Z1-K rojo 1,5mm2 - Madeco</t>
  </si>
  <si>
    <t>Conductor H07Z1-K blanco 1,5mm2 - Madeco</t>
  </si>
  <si>
    <t>Conductor H07Z1-K verde 1,5mm2 - Madeco</t>
  </si>
  <si>
    <t>Unidad</t>
  </si>
  <si>
    <t>u</t>
  </si>
  <si>
    <t>Conector conico N°33 naranjo  - Mec</t>
  </si>
  <si>
    <t>Circuitos de enchufes (forrado de interior Volcanita)</t>
  </si>
  <si>
    <t>Curva T para canaleta PVC 20x10mm -Grantt</t>
  </si>
  <si>
    <t>Cinta aislante 20m- 3M (considerada en iluminacion)</t>
  </si>
  <si>
    <t>-</t>
  </si>
  <si>
    <t>Conductor H07Z1-K rojo 2,5mm2 - Madeco</t>
  </si>
  <si>
    <t>Conductor H07Z1-K blanco 2,5mm2 - Madeco</t>
  </si>
  <si>
    <t>Conductor H07Z1-K verde 2,5mm2 - Madeco</t>
  </si>
  <si>
    <t>Enchufe triple 10A 250V 2P+T - Lexo</t>
  </si>
  <si>
    <t>Enchufe simple 16A 250V 2P+T - Lexo</t>
  </si>
  <si>
    <t>Enchufe triple 16A 250V 2P+T - Lexo</t>
  </si>
  <si>
    <t>Tablero de alumbrado (forrado de interior Volcanita)</t>
  </si>
  <si>
    <t>Portafusible para luz piloto de 1P 32A 500V 10x38mm - Lexo</t>
  </si>
  <si>
    <t>Luz piloto para riel din 220V IP44 - Lexo</t>
  </si>
  <si>
    <t>Interruptor termomagnético omnipolar 2x25A/10kA/curva C - Schneider electric</t>
  </si>
  <si>
    <t>Supresor de transiente 2P tipo 2 de 20kA  230V - ABB</t>
  </si>
  <si>
    <t>Protector de sobrevoltaje y corriente 220V 63A - CNC</t>
  </si>
  <si>
    <t>Barra repartidora bipolar de 7 polos de 100A - Lexo</t>
  </si>
  <si>
    <t>Barra repartidora tetrapolar de 4 polos  100A - Lexo</t>
  </si>
  <si>
    <t>Barra unipolar verde de 10 polos 63 A - DTK</t>
  </si>
  <si>
    <t>Diferencial 2x25A 30mA tipo A - Schneider electric</t>
  </si>
  <si>
    <t>Interruptor termomagnético  1x6A/6kA/curva B - Schneider electric</t>
  </si>
  <si>
    <t>Interruptor termomagnético  1x10A/6kA/curva C - Schneider electric</t>
  </si>
  <si>
    <t>Interruptor termomagnético  1x16A/6kA/curva C - Schneider electric</t>
  </si>
  <si>
    <t>Ferrul color naranja 4mm2 - Generico</t>
  </si>
  <si>
    <t>Conductor H07Z1-K rojo,blanco,verde 2,5mm2 - Madeco</t>
  </si>
  <si>
    <t>Conductor H07Z1-K rojo,blanco,verde 6mm2 - Madeco</t>
  </si>
  <si>
    <t>Conductor H07Z1-K rojo,blanco,verde 1,5mm2 - Madeco</t>
  </si>
  <si>
    <t>Rojo = Blanco=Verde = 1m por conductor</t>
  </si>
  <si>
    <t>Conductor RV-K 4mm2 alimentador (la longitud contabilizada en total alimentador) - Madeco</t>
  </si>
  <si>
    <t>m</t>
  </si>
  <si>
    <t>rojo = 5m /blanco = 5m/ verde = 5m</t>
  </si>
  <si>
    <t>rojo = 8m /blanco = 8m/ verde = 8m</t>
  </si>
  <si>
    <t>Emplame independiente (forrado exterior Siding metálico)</t>
  </si>
  <si>
    <t>Interruptor termomagnético  1x25A/10kA/curva D - Schneider electric</t>
  </si>
  <si>
    <t>Unidad de media monofasica 50Hz 220V 50A - DRL</t>
  </si>
  <si>
    <t>Cable conectrico Cu 2x4mm2 10m - Covisa</t>
  </si>
  <si>
    <t>Terminal ferrul color naranja 4mm2 - Generico</t>
  </si>
  <si>
    <t>Terminal ferrul doble color naranja 4mm2 - Generico</t>
  </si>
  <si>
    <t>Terminal de compresión tipo ojo 4mm2 (cajas metalicas aterrizadas) - Generico</t>
  </si>
  <si>
    <t>Tubo de acero galvanizado 25mm, 3mts - Ekoline</t>
  </si>
  <si>
    <t>Conector Hub de acero galvanizado 25mm - Ekoline</t>
  </si>
  <si>
    <t>Conector Hub de acero galvanizado 32mm - Ekoline</t>
  </si>
  <si>
    <t>Barra copperwld + conector de bronce 5/8", 3 mts - Indutref</t>
  </si>
  <si>
    <t>Camarilla de registro con tapa de PVC 160x25mm - Tigre</t>
  </si>
  <si>
    <t>Rojo = Blanco=Verde = 1m por conductor / Luz piloto 1 m rojo y blanco</t>
  </si>
  <si>
    <t>rojo = 2m /blanco = 2m/ verde = 1m</t>
  </si>
  <si>
    <t>Abrazadera tipo caddy 25mm - Ekoline</t>
  </si>
  <si>
    <t>Abrazadera tipo caddy 32mm - Ekoline</t>
  </si>
  <si>
    <t>Riel DIN 1m 35x7,5mm  - Lexo</t>
  </si>
  <si>
    <t>Sellador de roscas con teflon 50ml - Permatex</t>
  </si>
  <si>
    <t>Alimentador RV-K 3x4mm2 /25m - Madeco</t>
  </si>
  <si>
    <t>Conduit PVC 32mm, 3mts (tramo subterraneo acometida) - Hoffens</t>
  </si>
  <si>
    <t>7m</t>
  </si>
  <si>
    <t>22m</t>
  </si>
  <si>
    <t>Marco metálico para camara tipo C - ACMA</t>
  </si>
  <si>
    <t xml:space="preserve">Caja de derivacion metalica 100x65x65mm - Stanford </t>
  </si>
  <si>
    <t>Portafusible loza  con fusible de 30A - Fujian</t>
  </si>
  <si>
    <t xml:space="preserve">Pilar metálico cuadrado 100x100x3mm 6m - Kupfer </t>
  </si>
  <si>
    <t>blanco = 5m/ verde = 10m</t>
  </si>
  <si>
    <t>Conductor THWN-2 de 4mm2 (puesta a tierra) - Covisa</t>
  </si>
  <si>
    <t>Tubo de acero galvanizado 32mm , 3mts - Ekoline</t>
  </si>
  <si>
    <t>Rojo = Blanco=9m, verde = 1m por conductor</t>
  </si>
  <si>
    <t>rojo = 9m /blanco = 9m/ verde = 1m</t>
  </si>
  <si>
    <t>Tarugo paloma 6mm  - Fixser</t>
  </si>
  <si>
    <t>Terminal PVC conduit con 2 tuercas 32mm - Hoffens</t>
  </si>
  <si>
    <t>Terminal PVC conduit con 2 tuercas 40mm - Hoffens</t>
  </si>
  <si>
    <t>Abrazadera PVC 32mm,  (fijar tramo de salida subterranea acometida  del pvc al poste) - Hoffens</t>
  </si>
  <si>
    <t>Abrazadera PVC 40mm,  (fijar tramo de entrada subterranea alimentador  del pvc al poste) - Hoffens</t>
  </si>
  <si>
    <t>Conduit PVC 40mm, 3mts (tramo subterraneo alimentador) - Hoffens</t>
  </si>
  <si>
    <t>Cámara tipo C con tapa de acero 440x440mm (alimentador subterráneo 22m) - Hormipret</t>
  </si>
  <si>
    <t>Boquilla de pvc con bordes redondos 40mm para condiut en camara tipo C - Hoffens</t>
  </si>
  <si>
    <t>Tablero de alumbrado sobrepuesto PVC 42 puestos IP41 54x36x11,5cm - Lexo</t>
  </si>
  <si>
    <t>Interurptor 9/12 10A 250V - Schneider electric</t>
  </si>
  <si>
    <t>Interruptor 9/15 10A 250V - Schneider electric</t>
  </si>
  <si>
    <t>Interruptor 9/32 10A 250V - Schneider electric</t>
  </si>
  <si>
    <t>Interruptor 9/24 10A 250V - Schneider electric</t>
  </si>
  <si>
    <t>Caja de derivación octogonal (luminarias) 100x41mm 12 salidas - Bticino</t>
  </si>
  <si>
    <t>Caja de derivación rectangular PVC 12x8,5cm - Bticino</t>
  </si>
  <si>
    <t>Salida de caja 20mm - Tigre</t>
  </si>
  <si>
    <t>Salidas de caja PVC 20mm - Halux</t>
  </si>
  <si>
    <t>Abrazaderas Conduit PVC 20mm - Halux</t>
  </si>
  <si>
    <t>Ferule rojo 1,5mm2 (interruptores) - Soliot</t>
  </si>
  <si>
    <t>Conector conico N°33 naranjo  - Lexo</t>
  </si>
  <si>
    <t>Conductor THWN-2 rojo 1,5mm2 - Covisa</t>
  </si>
  <si>
    <t>Conductor THWN-2 blanco 1,5mm2 - Covisa</t>
  </si>
  <si>
    <t>Conductor THWN-2 verde 1,5mm2 - Covisa</t>
  </si>
  <si>
    <t>Enchufe doble 16A 250V 2P+T - Lexo</t>
  </si>
  <si>
    <t>Ferrule rojo 1,5mm2 (interruptores) - Generico</t>
  </si>
  <si>
    <t>Ferule Azul 2,5mm2 (interruptores) - Generico</t>
  </si>
  <si>
    <t>Ferrul color rojo 1,5mm2 - Generico</t>
  </si>
  <si>
    <t>Ferrul color azul 2,5mm2 - Generico</t>
  </si>
  <si>
    <t>Ferrul color amarillo 6mm2 - Generico</t>
  </si>
  <si>
    <t>Ferule Azul 2,5mm2 (interruptores) - Soliot</t>
  </si>
  <si>
    <t>Conector conico N°44 amarillo  - Lexo</t>
  </si>
  <si>
    <t>Tablero de alumbrado embutido PVC 54 puestos IP41 54x44x8cm - Stanford</t>
  </si>
  <si>
    <t>Interruptor termomagnético omnipolar 2x40A/10kA/curva C - Schneider electric</t>
  </si>
  <si>
    <t>Portafusible para luz piloto de 1P 32A 500V 10x38mm - Legrand</t>
  </si>
  <si>
    <t>Luz piloto para riel din 220V IP44 - Bticino</t>
  </si>
  <si>
    <t>Supresor de transiente 2P tipo 2 de 20kA  230V - Legrand</t>
  </si>
  <si>
    <t>Protector de sobrevoltaje y corriente 220V 63A - Tomzn</t>
  </si>
  <si>
    <t>Barra repartidora tetrapolar de 4 polos  100A - DTK</t>
  </si>
  <si>
    <t>Barra repartidora bipolar de 7 polos de 100A - DTK</t>
  </si>
  <si>
    <t>Barra unipolar verde de 15 polos 63 A - Lexo</t>
  </si>
  <si>
    <t>Diferencial 2x40A 30mA tipo A - Schneider electric</t>
  </si>
  <si>
    <t>Conductor THWN-2 rojo 2,5mm2 - Madeco</t>
  </si>
  <si>
    <t>Conductor THWN-2 blanco 2,5mm2 - Madeco</t>
  </si>
  <si>
    <t>Conductor THWN-2 verde 2,5mm2 - Madeco</t>
  </si>
  <si>
    <t>Conductor THWN-2 rojo,blanco,verde 2,5mm2 - Madeco</t>
  </si>
  <si>
    <t>Conductor THWN-2 rojo,blanco,verde 1,5mm2 - Madeco</t>
  </si>
  <si>
    <t>Conductor THWN-2 rojo,blanco,verde 10mm2 - Madeco</t>
  </si>
  <si>
    <t>Conductor RV-K 6mm2 alimentador (la longitud contabilizada en total alimentador) - Madeco</t>
  </si>
  <si>
    <t>Rojo = Blanco=15,2m, verde = 1m por conductor</t>
  </si>
  <si>
    <t>rojo = 16m /blanco = 16m/ verde = 1m</t>
  </si>
  <si>
    <t>Ferrul color rojo 10mm2 - Soliot</t>
  </si>
  <si>
    <t>Barra repartidora tetrapolar (extra) de 4 polos  100A - DTK</t>
  </si>
  <si>
    <t>Bornera de conexión 6mm2 - Lexo</t>
  </si>
  <si>
    <t>Ferrul color azul 2,5mm2 - Soliot</t>
  </si>
  <si>
    <t>Ferrul color rojo 1,5mm2 - Soliot</t>
  </si>
  <si>
    <t>Bornera de conexión 10mm2 - Cabur</t>
  </si>
  <si>
    <t>Bornera de conexión 2,5mm2 - Cabur</t>
  </si>
  <si>
    <t>Bornera de conexión 1,5mm2 - Cabur</t>
  </si>
  <si>
    <t>Riel DIN 1m 35x7,5mm  - Mec</t>
  </si>
  <si>
    <t>Circuito de iluminación (forrado de interior Madera - tabique Metalcon)</t>
  </si>
  <si>
    <t>Circuitos de enchufes (forrado de interior Madera - tabique Metalcon)</t>
  </si>
  <si>
    <t>Tablero de alumbrado (forrado de interior Madera - tabique Metalcon)</t>
  </si>
  <si>
    <t>Tornillo autoperforante punta broca  6x 1 1/2" - Fixser</t>
  </si>
  <si>
    <t>Unidad de media monofasica 50Hz 220V 50A - Metertek</t>
  </si>
  <si>
    <t>Interruptor termomagnético  1x40A/10kA/curva D - Schneider electric</t>
  </si>
  <si>
    <t>Cable conectrico Cu 2x6mm2 25m - Elexor</t>
  </si>
  <si>
    <t>Ferrul color amarillo 6mm2 - Soliot</t>
  </si>
  <si>
    <t>Terminal ferrul color amarillo 6mm2 - Soliot</t>
  </si>
  <si>
    <t>Terminal ferrul doble color amarillo 6mm2 - Soliot</t>
  </si>
  <si>
    <t>Terminal de compresión tipo ojo 6mm2 (cajas metalicas aterrizadas) - Sofamel</t>
  </si>
  <si>
    <t>Emplame en fachada con mástil de 3m (forrado exterior Madera)</t>
  </si>
  <si>
    <t>Tubo conduit PVC 20mm, 3m - Halux</t>
  </si>
  <si>
    <t>blanco = 4m/ verde = 8m</t>
  </si>
  <si>
    <t>Tubo de acero galvanizado 25mm, 3mts - Rhona</t>
  </si>
  <si>
    <t>Conector Hub de acero galvanizado 25mm - Rhona</t>
  </si>
  <si>
    <t>Terminal PVC conduit con 2 tuercas 32mm - Revi</t>
  </si>
  <si>
    <t>Conductor THWN-2 de 6mm2 (puesta a tierra) - Madeco</t>
  </si>
  <si>
    <t>Barra copperwld + conector de bronce 5/8", 3 mts - Ekoline</t>
  </si>
  <si>
    <t>Camarilla de registro con tapa de PVC 160x25mm - DTK</t>
  </si>
  <si>
    <t>Abrazadera tipo caddy 25mm - Rhona</t>
  </si>
  <si>
    <t>Sellador de roscas con teflon 50ml - Topex</t>
  </si>
  <si>
    <t>Alimentador RV-K 3x6mm2 /12m - Cocesa</t>
  </si>
  <si>
    <t>Tubo conduit PVC 32mm , 3mts (alimentador en fachada en ducto) - Halux</t>
  </si>
  <si>
    <t>Abrazadera conduit PVC 32mm (tramo en PVC alimentador)   - Halux</t>
  </si>
  <si>
    <t>Caja de derivacion metalica 100x65x65mm - Ectray</t>
  </si>
  <si>
    <t>Portafusible loza  con fusible de 60A - Kersting</t>
  </si>
  <si>
    <t>Cabeza de servicio 3/4" (25mm) - Rhona</t>
  </si>
  <si>
    <t>Cánca de acero galvanizado 7,8x110mm - Mamut</t>
  </si>
  <si>
    <t>Granpa de retención 2,5-25mm2 (6-10mm) - Stanford</t>
  </si>
  <si>
    <t xml:space="preserve">Tornillo autoperforante 8x1/2" cabeza lenteja + golilla (aterrizar cajas metálicas) - Fixser </t>
  </si>
  <si>
    <t>Tirafondo hexagonal 1/4" x 1 1/2" + golilla 1/4" - Fixser</t>
  </si>
  <si>
    <t>Tornillo 8x1" cabeza lenteja punta fina (fachada) - Fixser</t>
  </si>
  <si>
    <t xml:space="preserve">Tornillo autoperforante 8x1/2" cabeza lenteja (aterrizar cajas metálicas) + golilla- Stanford </t>
  </si>
  <si>
    <t xml:space="preserve">Tornillo autoperforante 1/4x1 1/2"  + golilla 1/4" - Stanford </t>
  </si>
  <si>
    <t xml:space="preserve">Tornillo cabeza lenteja 8x1 1/4"  punta broca (fachada siding metálico) - Stanford </t>
  </si>
  <si>
    <t xml:space="preserve">Tornillo cabeza lenteja 8x1 1/4" (poste metálico)  punta broca - Stanford </t>
  </si>
  <si>
    <t>Interruptor 9/32 10A 250V - Bticino</t>
  </si>
  <si>
    <t>Ampolleta Led E27 9W, luz fria - Stanford</t>
  </si>
  <si>
    <t>Circuito 1: 45,375 = 46m</t>
  </si>
  <si>
    <t>Circuito enchufes 1: 24,8098m/ Cirucuto enchufes 2: 22,893m/ Circuito enchufes baño: 8,5728m/ Circuito lavadora: 6,8783m/   Circuito enchufes cocina: 10,238m /total 73,3919m</t>
  </si>
  <si>
    <t>Foco Led sobrepuesto 18W, luz fria - AVC</t>
  </si>
  <si>
    <t>Foco Led embutido 9W, Luz fria - AVC</t>
  </si>
  <si>
    <t>Tapa ciega redonda PVC 10,2cm (cajas octogonales) - Epem</t>
  </si>
  <si>
    <t>Fusible cilíndrico 10x38mm 2A 500V - Bussmann</t>
  </si>
  <si>
    <t>79,6144m</t>
  </si>
  <si>
    <t>41,7028m</t>
  </si>
  <si>
    <t>Tubo de estaño 17gr (soldar conductores de puesta a tierra - Altronics</t>
  </si>
  <si>
    <t>Pasta para soldar 50gr (soldar conductores de puesta a tierra - Metalfer</t>
  </si>
  <si>
    <t>Caja para empalme metálica IP54 405x200x137mm - Stanford</t>
  </si>
  <si>
    <t>Abrazadera PVC 40mm,  (fijar tramo de salida subterránea alimentador  en la fachada hasta el TDA 7m) - Hoffens</t>
  </si>
  <si>
    <t xml:space="preserve">Circuito enchufes 1: 22,2598m/ Cirucuto enchufes 2: 20,793m/ Circuito enchufes baño: 8,4228m/ Circuito lavadora: 6,7283m/   Circuito enchufes cocina: 9,188m </t>
  </si>
  <si>
    <t>Caja para empalme metálica 405x200x137mm - Metertek</t>
  </si>
  <si>
    <t>rojo =3m /blanco = 3m/ verde = 2m</t>
  </si>
  <si>
    <t>Fusible cilíndrico 10x38mm 2A 500V - Mersen</t>
  </si>
  <si>
    <t>Cinta de goma autofundente 3mts - 3M</t>
  </si>
  <si>
    <t>Tubo estaño 17gr</t>
  </si>
  <si>
    <t>Pasta para soldar 50gr</t>
  </si>
  <si>
    <t>Circuito iluminación 1: 67,9656m/ Circuito iluminación 2: 62,816m / total = 130,7816m = 131m</t>
  </si>
  <si>
    <t>Circuito iluminación 1: 37,6254m/ Circuito iluminación 2: 36,0076m / total = 73,633m = 74m</t>
  </si>
  <si>
    <t xml:space="preserve">Circuito 2: 26,5189m    /                      Circuito 3: 15,2033m  /             Circuito 4: 30,0779m /             Circuito 5: 14,1633m /                                        Circuito 7: 30,0165m /                                     Circuito 8: 28,3364m /                 Circuito 9: 16,1215m /               Circuito 10: 7,537m /                           total: 167,9748m /                                                                                                             </t>
  </si>
  <si>
    <t xml:space="preserve">1 u por cada circuito                                                                                                      </t>
  </si>
  <si>
    <t xml:space="preserve">Circuito 2: 26,5189m    /                      Circuito 3: 15,2033m  /             Circuito 4: 30,0779m /             Circuito 5: 14,1633m /                                        Circuito 7: 30,0165m /                                     Circuito 8: 28,3364m /                 Circuito 9: 16,1215m /               Circuito 10: 7,537m /                           total: 167,9748m                                                                                                            </t>
  </si>
  <si>
    <t>Tornillo volcanita punta fina 6x1 1/4" - Fixser</t>
  </si>
  <si>
    <t>Tornillo volcanita punta fina 6x11/4" - Fixser</t>
  </si>
  <si>
    <t>Tornillo volcanita punta fina 6x1 1/4" cabeza lenteja  - Fixser</t>
  </si>
  <si>
    <t xml:space="preserve">Circuito 2: 25,4689m    /   Circuito 3: 15,0533m  /  Circuito 4: 29,7779m /   Circuito 5: 14,0133m /   Circuito 7: 28,3665m /  Circuito 8: 26,6864m /   Circuito 9: 13,5715m  /  Circuito 10: 7,387m /                           total: 160,3248m /                                                                                                             </t>
  </si>
  <si>
    <t xml:space="preserve">Circuito iluminación 1: 39,9142m/ Circuito iluminación 2: 40,2752m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</si>
</sst>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2" fontId="0" fillId="0" borderId="0" xfId="0" applyNumberFormat="1"/>
    <xf numFmtId="0" fontId="0" fillId="5" borderId="0" xfId="0" applyFill="1"/>
    <xf numFmtId="0" fontId="0" fillId="0" borderId="1" xfId="0" applyBorder="1" applyAlignment="1">
      <alignment horizontal="left" vertical="top"/>
    </xf>
    <xf numFmtId="0" fontId="0" fillId="6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/>
    <xf numFmtId="0" fontId="0" fillId="6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DF4F-D267-4EB8-8749-CE7D9950C241}">
  <dimension ref="A2:G116"/>
  <sheetViews>
    <sheetView tabSelected="1" zoomScale="80" zoomScaleNormal="80" workbookViewId="0">
      <selection activeCell="H85" sqref="H85"/>
    </sheetView>
  </sheetViews>
  <sheetFormatPr baseColWidth="10" defaultRowHeight="15" x14ac:dyDescent="0.25"/>
  <cols>
    <col min="1" max="1" width="99.5703125" customWidth="1"/>
    <col min="2" max="2" width="14" customWidth="1"/>
    <col min="3" max="3" width="29.28515625" customWidth="1"/>
  </cols>
  <sheetData>
    <row r="2" spans="1:4" x14ac:dyDescent="0.25">
      <c r="A2" s="15" t="s">
        <v>13</v>
      </c>
      <c r="B2" s="16"/>
      <c r="C2" s="17"/>
    </row>
    <row r="3" spans="1:4" x14ac:dyDescent="0.25">
      <c r="A3" s="21" t="s">
        <v>14</v>
      </c>
      <c r="B3" s="22"/>
      <c r="C3" s="23"/>
    </row>
    <row r="4" spans="1:4" x14ac:dyDescent="0.25">
      <c r="A4" s="2" t="s">
        <v>0</v>
      </c>
      <c r="B4" s="2" t="s">
        <v>1</v>
      </c>
      <c r="C4" s="4" t="s">
        <v>21</v>
      </c>
    </row>
    <row r="5" spans="1:4" x14ac:dyDescent="0.25">
      <c r="A5" s="1" t="s">
        <v>4</v>
      </c>
      <c r="B5" s="1">
        <v>3</v>
      </c>
      <c r="C5" s="3" t="s">
        <v>22</v>
      </c>
      <c r="D5" s="14"/>
    </row>
    <row r="6" spans="1:4" x14ac:dyDescent="0.25">
      <c r="A6" s="1" t="s">
        <v>3</v>
      </c>
      <c r="B6" s="1">
        <v>3</v>
      </c>
      <c r="C6" s="3" t="s">
        <v>22</v>
      </c>
      <c r="D6" s="14"/>
    </row>
    <row r="7" spans="1:4" x14ac:dyDescent="0.25">
      <c r="A7" s="1" t="s">
        <v>183</v>
      </c>
      <c r="B7" s="1">
        <v>1</v>
      </c>
      <c r="C7" s="3" t="s">
        <v>22</v>
      </c>
      <c r="D7" s="14"/>
    </row>
    <row r="8" spans="1:4" x14ac:dyDescent="0.25">
      <c r="A8" s="1" t="s">
        <v>2</v>
      </c>
      <c r="B8" s="1">
        <v>12</v>
      </c>
      <c r="C8" s="3" t="s">
        <v>22</v>
      </c>
      <c r="D8" s="14"/>
    </row>
    <row r="9" spans="1:4" x14ac:dyDescent="0.25">
      <c r="A9" s="1" t="s">
        <v>184</v>
      </c>
      <c r="B9" s="1">
        <v>12</v>
      </c>
      <c r="C9" s="3" t="s">
        <v>22</v>
      </c>
      <c r="D9" s="14"/>
    </row>
    <row r="10" spans="1:4" x14ac:dyDescent="0.25">
      <c r="A10" s="1" t="s">
        <v>5</v>
      </c>
      <c r="B10" s="1">
        <v>14</v>
      </c>
      <c r="C10" s="3" t="s">
        <v>22</v>
      </c>
      <c r="D10" s="14"/>
    </row>
    <row r="11" spans="1:4" x14ac:dyDescent="0.25">
      <c r="A11" s="1" t="s">
        <v>102</v>
      </c>
      <c r="B11" s="1">
        <v>17</v>
      </c>
      <c r="C11" s="3" t="s">
        <v>22</v>
      </c>
      <c r="D11" s="14"/>
    </row>
    <row r="12" spans="1:4" x14ac:dyDescent="0.25">
      <c r="A12" s="1" t="s">
        <v>6</v>
      </c>
      <c r="B12" s="1">
        <v>12</v>
      </c>
      <c r="C12" s="3" t="s">
        <v>22</v>
      </c>
      <c r="D12" s="14"/>
    </row>
    <row r="13" spans="1:4" x14ac:dyDescent="0.25">
      <c r="A13" s="1" t="s">
        <v>189</v>
      </c>
      <c r="B13" s="1">
        <v>12</v>
      </c>
      <c r="C13" s="3" t="s">
        <v>22</v>
      </c>
      <c r="D13" s="14"/>
    </row>
    <row r="14" spans="1:4" x14ac:dyDescent="0.25">
      <c r="A14" s="1" t="s">
        <v>8</v>
      </c>
      <c r="B14" s="1">
        <v>7</v>
      </c>
      <c r="C14" s="3" t="s">
        <v>22</v>
      </c>
      <c r="D14" s="14"/>
    </row>
    <row r="15" spans="1:4" x14ac:dyDescent="0.25">
      <c r="A15" s="1" t="s">
        <v>9</v>
      </c>
      <c r="B15" s="1">
        <v>23</v>
      </c>
      <c r="C15" s="3" t="s">
        <v>185</v>
      </c>
      <c r="D15" s="14"/>
    </row>
    <row r="16" spans="1:4" x14ac:dyDescent="0.25">
      <c r="A16" s="1" t="s">
        <v>10</v>
      </c>
      <c r="B16" s="1">
        <v>22</v>
      </c>
      <c r="C16" s="3" t="s">
        <v>22</v>
      </c>
      <c r="D16" s="14"/>
    </row>
    <row r="17" spans="1:4" x14ac:dyDescent="0.25">
      <c r="A17" s="1" t="s">
        <v>11</v>
      </c>
      <c r="B17" s="1">
        <v>28</v>
      </c>
      <c r="C17" s="3" t="s">
        <v>22</v>
      </c>
      <c r="D17" s="12"/>
    </row>
    <row r="18" spans="1:4" x14ac:dyDescent="0.25">
      <c r="A18" s="1" t="s">
        <v>12</v>
      </c>
      <c r="B18" s="1">
        <v>14</v>
      </c>
      <c r="C18" s="3" t="s">
        <v>22</v>
      </c>
      <c r="D18" s="14"/>
    </row>
    <row r="19" spans="1:4" x14ac:dyDescent="0.25">
      <c r="A19" s="1" t="s">
        <v>111</v>
      </c>
      <c r="B19" s="1">
        <v>29</v>
      </c>
      <c r="C19" s="3" t="s">
        <v>22</v>
      </c>
      <c r="D19" s="14"/>
    </row>
    <row r="20" spans="1:4" x14ac:dyDescent="0.25">
      <c r="A20" s="1" t="s">
        <v>23</v>
      </c>
      <c r="B20" s="1">
        <v>31</v>
      </c>
      <c r="C20" s="3" t="s">
        <v>22</v>
      </c>
      <c r="D20" s="14"/>
    </row>
    <row r="21" spans="1:4" x14ac:dyDescent="0.25">
      <c r="A21" s="1" t="s">
        <v>16</v>
      </c>
      <c r="B21" s="1">
        <v>2</v>
      </c>
      <c r="C21" s="3" t="s">
        <v>22</v>
      </c>
      <c r="D21" s="14"/>
    </row>
    <row r="22" spans="1:4" x14ac:dyDescent="0.25">
      <c r="A22" s="1" t="s">
        <v>18</v>
      </c>
      <c r="B22" s="1">
        <v>80</v>
      </c>
      <c r="C22" s="3" t="s">
        <v>191</v>
      </c>
      <c r="D22" s="12"/>
    </row>
    <row r="23" spans="1:4" x14ac:dyDescent="0.25">
      <c r="A23" s="1" t="s">
        <v>19</v>
      </c>
      <c r="B23" s="1">
        <v>42</v>
      </c>
      <c r="C23" s="3" t="s">
        <v>192</v>
      </c>
      <c r="D23" s="12"/>
    </row>
    <row r="24" spans="1:4" x14ac:dyDescent="0.25">
      <c r="A24" s="1" t="s">
        <v>20</v>
      </c>
      <c r="B24" s="1">
        <v>42</v>
      </c>
      <c r="C24" s="3" t="s">
        <v>192</v>
      </c>
      <c r="D24" s="12"/>
    </row>
    <row r="25" spans="1:4" x14ac:dyDescent="0.25">
      <c r="A25" s="1" t="s">
        <v>209</v>
      </c>
      <c r="B25" s="1">
        <v>212</v>
      </c>
      <c r="C25" s="3" t="s">
        <v>22</v>
      </c>
      <c r="D25" s="14"/>
    </row>
    <row r="26" spans="1:4" x14ac:dyDescent="0.25">
      <c r="A26" s="1" t="s">
        <v>17</v>
      </c>
      <c r="B26" s="1">
        <v>126</v>
      </c>
      <c r="C26" s="3" t="s">
        <v>22</v>
      </c>
      <c r="D26" s="14"/>
    </row>
    <row r="28" spans="1:4" x14ac:dyDescent="0.25">
      <c r="A28" s="21" t="s">
        <v>24</v>
      </c>
      <c r="B28" s="22"/>
      <c r="C28" s="23"/>
    </row>
    <row r="29" spans="1:4" x14ac:dyDescent="0.25">
      <c r="A29" s="2" t="s">
        <v>0</v>
      </c>
      <c r="B29" s="2" t="s">
        <v>1</v>
      </c>
      <c r="C29" s="4" t="s">
        <v>21</v>
      </c>
    </row>
    <row r="30" spans="1:4" x14ac:dyDescent="0.25">
      <c r="A30" s="1" t="s">
        <v>31</v>
      </c>
      <c r="B30" s="1">
        <v>11</v>
      </c>
      <c r="C30" s="3" t="s">
        <v>22</v>
      </c>
      <c r="D30" s="14"/>
    </row>
    <row r="31" spans="1:4" x14ac:dyDescent="0.25">
      <c r="A31" s="1" t="s">
        <v>32</v>
      </c>
      <c r="B31" s="1">
        <v>1</v>
      </c>
      <c r="C31" s="3" t="s">
        <v>22</v>
      </c>
      <c r="D31" s="14"/>
    </row>
    <row r="32" spans="1:4" x14ac:dyDescent="0.25">
      <c r="A32" s="1" t="s">
        <v>33</v>
      </c>
      <c r="B32" s="1">
        <v>4</v>
      </c>
      <c r="C32" s="3" t="s">
        <v>22</v>
      </c>
      <c r="D32" s="14"/>
    </row>
    <row r="33" spans="1:6" x14ac:dyDescent="0.25">
      <c r="A33" s="1" t="s">
        <v>5</v>
      </c>
      <c r="B33" s="1">
        <v>18</v>
      </c>
      <c r="C33" s="3" t="s">
        <v>22</v>
      </c>
      <c r="D33" s="14"/>
    </row>
    <row r="34" spans="1:6" x14ac:dyDescent="0.25">
      <c r="A34" s="1" t="s">
        <v>8</v>
      </c>
      <c r="B34" s="1">
        <v>2</v>
      </c>
      <c r="C34" s="3" t="s">
        <v>22</v>
      </c>
      <c r="D34" s="14"/>
    </row>
    <row r="35" spans="1:6" ht="92.25" customHeight="1" x14ac:dyDescent="0.25">
      <c r="A35" s="7" t="s">
        <v>9</v>
      </c>
      <c r="B35" s="7">
        <v>37</v>
      </c>
      <c r="C35" s="9" t="s">
        <v>197</v>
      </c>
      <c r="D35" s="14"/>
    </row>
    <row r="36" spans="1:6" x14ac:dyDescent="0.25">
      <c r="A36" s="1" t="s">
        <v>10</v>
      </c>
      <c r="B36" s="1">
        <v>32</v>
      </c>
      <c r="C36" s="3" t="s">
        <v>22</v>
      </c>
      <c r="D36" s="14"/>
    </row>
    <row r="37" spans="1:6" x14ac:dyDescent="0.25">
      <c r="A37" s="1" t="s">
        <v>11</v>
      </c>
      <c r="B37" s="1">
        <v>14</v>
      </c>
      <c r="C37" s="3" t="s">
        <v>22</v>
      </c>
      <c r="D37" s="12"/>
    </row>
    <row r="38" spans="1:6" x14ac:dyDescent="0.25">
      <c r="A38" s="1" t="s">
        <v>12</v>
      </c>
      <c r="B38" s="1">
        <v>12</v>
      </c>
      <c r="C38" s="3" t="s">
        <v>22</v>
      </c>
      <c r="D38" s="14"/>
    </row>
    <row r="39" spans="1:6" x14ac:dyDescent="0.25">
      <c r="A39" s="1" t="s">
        <v>25</v>
      </c>
      <c r="B39" s="1">
        <v>11</v>
      </c>
      <c r="C39" s="3" t="s">
        <v>22</v>
      </c>
      <c r="D39" s="14"/>
    </row>
    <row r="40" spans="1:6" x14ac:dyDescent="0.25">
      <c r="A40" s="1" t="s">
        <v>112</v>
      </c>
      <c r="B40" s="1">
        <v>48</v>
      </c>
      <c r="C40" s="3" t="s">
        <v>22</v>
      </c>
      <c r="D40" s="14"/>
    </row>
    <row r="41" spans="1:6" x14ac:dyDescent="0.25">
      <c r="A41" s="1" t="s">
        <v>15</v>
      </c>
      <c r="B41" s="1">
        <v>33</v>
      </c>
      <c r="C41" s="3" t="s">
        <v>22</v>
      </c>
      <c r="D41" s="14"/>
    </row>
    <row r="42" spans="1:6" x14ac:dyDescent="0.25">
      <c r="A42" s="1" t="s">
        <v>26</v>
      </c>
      <c r="B42" s="3" t="s">
        <v>27</v>
      </c>
      <c r="C42" s="3" t="s">
        <v>27</v>
      </c>
      <c r="D42" s="14"/>
      <c r="F42">
        <v>37</v>
      </c>
    </row>
    <row r="43" spans="1:6" ht="123" customHeight="1" x14ac:dyDescent="0.25">
      <c r="A43" s="7" t="s">
        <v>28</v>
      </c>
      <c r="B43" s="7">
        <v>74</v>
      </c>
      <c r="C43" s="9" t="s">
        <v>186</v>
      </c>
      <c r="D43" s="12"/>
      <c r="F43">
        <v>26</v>
      </c>
    </row>
    <row r="44" spans="1:6" ht="92.25" customHeight="1" x14ac:dyDescent="0.25">
      <c r="A44" s="7" t="s">
        <v>29</v>
      </c>
      <c r="B44" s="7">
        <v>74</v>
      </c>
      <c r="C44" s="9" t="s">
        <v>186</v>
      </c>
      <c r="D44" s="12"/>
      <c r="F44">
        <v>22</v>
      </c>
    </row>
    <row r="45" spans="1:6" ht="90.75" customHeight="1" x14ac:dyDescent="0.25">
      <c r="A45" s="7" t="s">
        <v>30</v>
      </c>
      <c r="B45" s="7">
        <v>74</v>
      </c>
      <c r="C45" s="9" t="s">
        <v>186</v>
      </c>
      <c r="D45" s="12"/>
      <c r="F45">
        <v>18</v>
      </c>
    </row>
    <row r="46" spans="1:6" x14ac:dyDescent="0.25">
      <c r="A46" s="1" t="s">
        <v>210</v>
      </c>
      <c r="B46" s="1">
        <v>150</v>
      </c>
      <c r="C46" s="3" t="s">
        <v>22</v>
      </c>
      <c r="D46" s="14"/>
      <c r="F46">
        <f>SUM(F42:F45)</f>
        <v>103</v>
      </c>
    </row>
    <row r="47" spans="1:6" x14ac:dyDescent="0.25">
      <c r="A47" s="1" t="s">
        <v>17</v>
      </c>
      <c r="B47" s="1">
        <v>146</v>
      </c>
      <c r="C47" s="3" t="s">
        <v>22</v>
      </c>
      <c r="D47" s="14"/>
    </row>
    <row r="48" spans="1:6" x14ac:dyDescent="0.25">
      <c r="C48" s="5"/>
    </row>
    <row r="49" spans="1:6" x14ac:dyDescent="0.25">
      <c r="A49" s="21" t="s">
        <v>34</v>
      </c>
      <c r="B49" s="22"/>
      <c r="C49" s="23"/>
    </row>
    <row r="50" spans="1:6" x14ac:dyDescent="0.25">
      <c r="A50" s="2" t="s">
        <v>0</v>
      </c>
      <c r="B50" s="2" t="s">
        <v>1</v>
      </c>
      <c r="C50" s="4" t="s">
        <v>21</v>
      </c>
    </row>
    <row r="51" spans="1:6" x14ac:dyDescent="0.25">
      <c r="A51" s="1" t="s">
        <v>95</v>
      </c>
      <c r="B51" s="1">
        <v>1</v>
      </c>
      <c r="C51" s="3" t="s">
        <v>22</v>
      </c>
      <c r="D51" s="14"/>
    </row>
    <row r="52" spans="1:6" x14ac:dyDescent="0.25">
      <c r="A52" s="1" t="s">
        <v>37</v>
      </c>
      <c r="B52" s="1">
        <v>1</v>
      </c>
      <c r="C52" s="3" t="s">
        <v>22</v>
      </c>
      <c r="D52" s="14"/>
    </row>
    <row r="53" spans="1:6" x14ac:dyDescent="0.25">
      <c r="A53" s="1" t="s">
        <v>35</v>
      </c>
      <c r="B53" s="1">
        <v>1</v>
      </c>
      <c r="C53" s="3" t="s">
        <v>22</v>
      </c>
      <c r="D53" s="14"/>
    </row>
    <row r="54" spans="1:6" x14ac:dyDescent="0.25">
      <c r="A54" s="1" t="s">
        <v>36</v>
      </c>
      <c r="B54" s="1">
        <v>1</v>
      </c>
      <c r="C54" s="3" t="s">
        <v>22</v>
      </c>
      <c r="D54" s="14"/>
    </row>
    <row r="55" spans="1:6" x14ac:dyDescent="0.25">
      <c r="A55" s="1" t="s">
        <v>190</v>
      </c>
      <c r="B55" s="1">
        <v>1</v>
      </c>
      <c r="C55" s="3" t="s">
        <v>22</v>
      </c>
      <c r="D55" s="14"/>
    </row>
    <row r="56" spans="1:6" x14ac:dyDescent="0.25">
      <c r="A56" s="7" t="s">
        <v>38</v>
      </c>
      <c r="B56" s="1">
        <v>1</v>
      </c>
      <c r="C56" s="3" t="s">
        <v>22</v>
      </c>
      <c r="D56" s="14"/>
    </row>
    <row r="57" spans="1:6" x14ac:dyDescent="0.25">
      <c r="A57" s="1" t="s">
        <v>39</v>
      </c>
      <c r="B57" s="1">
        <v>1</v>
      </c>
      <c r="C57" s="3" t="s">
        <v>22</v>
      </c>
      <c r="D57" s="14"/>
    </row>
    <row r="58" spans="1:6" x14ac:dyDescent="0.25">
      <c r="A58" s="1" t="s">
        <v>41</v>
      </c>
      <c r="B58" s="1">
        <v>1</v>
      </c>
      <c r="C58" s="3" t="s">
        <v>22</v>
      </c>
      <c r="D58" s="14"/>
    </row>
    <row r="59" spans="1:6" x14ac:dyDescent="0.25">
      <c r="A59" s="1" t="s">
        <v>40</v>
      </c>
      <c r="B59" s="1">
        <v>1</v>
      </c>
      <c r="C59" s="3" t="s">
        <v>22</v>
      </c>
      <c r="D59" s="14"/>
    </row>
    <row r="60" spans="1:6" x14ac:dyDescent="0.25">
      <c r="A60" s="1" t="s">
        <v>42</v>
      </c>
      <c r="B60" s="1">
        <v>1</v>
      </c>
      <c r="C60" s="3" t="s">
        <v>22</v>
      </c>
      <c r="D60" s="14"/>
    </row>
    <row r="61" spans="1:6" x14ac:dyDescent="0.25">
      <c r="A61" s="1" t="s">
        <v>43</v>
      </c>
      <c r="B61" s="1">
        <v>6</v>
      </c>
      <c r="C61" s="3" t="s">
        <v>22</v>
      </c>
      <c r="D61" s="14"/>
      <c r="F61" s="5"/>
    </row>
    <row r="62" spans="1:6" x14ac:dyDescent="0.25">
      <c r="A62" s="1" t="s">
        <v>44</v>
      </c>
      <c r="B62" s="1">
        <v>1</v>
      </c>
      <c r="C62" s="3" t="s">
        <v>22</v>
      </c>
      <c r="D62" s="14"/>
    </row>
    <row r="63" spans="1:6" x14ac:dyDescent="0.25">
      <c r="A63" s="1" t="s">
        <v>45</v>
      </c>
      <c r="B63" s="1">
        <v>2</v>
      </c>
      <c r="C63" s="3" t="s">
        <v>22</v>
      </c>
      <c r="D63" s="14"/>
    </row>
    <row r="64" spans="1:6" x14ac:dyDescent="0.25">
      <c r="A64" s="1" t="s">
        <v>46</v>
      </c>
      <c r="B64" s="7">
        <v>3</v>
      </c>
      <c r="C64" s="3" t="s">
        <v>22</v>
      </c>
      <c r="D64" s="14"/>
    </row>
    <row r="65" spans="1:7" ht="45" x14ac:dyDescent="0.25">
      <c r="A65" s="7" t="s">
        <v>49</v>
      </c>
      <c r="B65" s="8" t="s">
        <v>86</v>
      </c>
      <c r="C65" s="8" t="s">
        <v>85</v>
      </c>
      <c r="D65" s="12"/>
    </row>
    <row r="66" spans="1:7" x14ac:dyDescent="0.25">
      <c r="A66" s="7" t="s">
        <v>52</v>
      </c>
      <c r="B66" s="7">
        <v>1</v>
      </c>
      <c r="C66" s="8" t="s">
        <v>53</v>
      </c>
      <c r="D66" s="14"/>
      <c r="E66" s="10"/>
    </row>
    <row r="67" spans="1:7" ht="45" x14ac:dyDescent="0.25">
      <c r="A67" s="7" t="s">
        <v>48</v>
      </c>
      <c r="B67" s="8" t="s">
        <v>54</v>
      </c>
      <c r="C67" s="8" t="s">
        <v>51</v>
      </c>
      <c r="D67" s="12"/>
      <c r="G67" s="25"/>
    </row>
    <row r="68" spans="1:7" ht="45" x14ac:dyDescent="0.25">
      <c r="A68" s="7" t="s">
        <v>50</v>
      </c>
      <c r="B68" s="8" t="s">
        <v>69</v>
      </c>
      <c r="C68" s="6" t="s">
        <v>68</v>
      </c>
      <c r="D68" s="24"/>
    </row>
    <row r="69" spans="1:7" x14ac:dyDescent="0.25">
      <c r="A69" s="1" t="s">
        <v>115</v>
      </c>
      <c r="B69" s="1">
        <v>70</v>
      </c>
      <c r="C69" s="3" t="s">
        <v>22</v>
      </c>
      <c r="D69" s="14"/>
    </row>
    <row r="70" spans="1:7" x14ac:dyDescent="0.25">
      <c r="A70" s="1" t="s">
        <v>47</v>
      </c>
      <c r="B70" s="1">
        <v>4</v>
      </c>
      <c r="C70" s="3" t="s">
        <v>22</v>
      </c>
      <c r="D70" s="14"/>
    </row>
    <row r="71" spans="1:7" x14ac:dyDescent="0.25">
      <c r="A71" s="1" t="s">
        <v>114</v>
      </c>
      <c r="B71" s="1">
        <v>15</v>
      </c>
      <c r="C71" s="3" t="s">
        <v>22</v>
      </c>
      <c r="D71" s="14"/>
    </row>
    <row r="72" spans="1:7" x14ac:dyDescent="0.25">
      <c r="A72" s="1" t="s">
        <v>113</v>
      </c>
      <c r="B72" s="1">
        <v>9</v>
      </c>
      <c r="C72" s="3" t="s">
        <v>22</v>
      </c>
      <c r="D72" s="14"/>
    </row>
    <row r="73" spans="1:7" x14ac:dyDescent="0.25">
      <c r="A73" s="1" t="s">
        <v>139</v>
      </c>
      <c r="B73" s="1">
        <v>6</v>
      </c>
      <c r="C73" s="3" t="s">
        <v>22</v>
      </c>
      <c r="D73" s="14"/>
    </row>
    <row r="74" spans="1:7" x14ac:dyDescent="0.25">
      <c r="A74" s="1" t="s">
        <v>72</v>
      </c>
      <c r="B74" s="1">
        <v>1</v>
      </c>
      <c r="C74" s="3" t="s">
        <v>22</v>
      </c>
      <c r="D74" s="14"/>
    </row>
    <row r="75" spans="1:7" x14ac:dyDescent="0.25">
      <c r="A75" s="1" t="s">
        <v>211</v>
      </c>
      <c r="B75" s="1">
        <v>15</v>
      </c>
      <c r="C75" s="3" t="s">
        <v>22</v>
      </c>
      <c r="D75" s="14"/>
    </row>
    <row r="76" spans="1:7" x14ac:dyDescent="0.25">
      <c r="A76" s="1" t="s">
        <v>87</v>
      </c>
      <c r="B76" s="1">
        <v>15</v>
      </c>
      <c r="C76" s="3" t="s">
        <v>22</v>
      </c>
      <c r="D76" s="14"/>
    </row>
    <row r="78" spans="1:7" x14ac:dyDescent="0.25">
      <c r="A78" s="21" t="s">
        <v>56</v>
      </c>
      <c r="B78" s="22"/>
      <c r="C78" s="23"/>
    </row>
    <row r="79" spans="1:7" x14ac:dyDescent="0.25">
      <c r="A79" s="2" t="s">
        <v>0</v>
      </c>
      <c r="B79" s="2" t="s">
        <v>1</v>
      </c>
      <c r="C79" s="4" t="s">
        <v>21</v>
      </c>
    </row>
    <row r="80" spans="1:7" x14ac:dyDescent="0.25">
      <c r="A80" s="1" t="s">
        <v>58</v>
      </c>
      <c r="B80" s="1">
        <v>1</v>
      </c>
      <c r="C80" s="3" t="s">
        <v>22</v>
      </c>
      <c r="D80" s="14"/>
    </row>
    <row r="81" spans="1:4" x14ac:dyDescent="0.25">
      <c r="A81" s="1" t="s">
        <v>195</v>
      </c>
      <c r="B81" s="1">
        <v>1</v>
      </c>
      <c r="C81" s="3" t="s">
        <v>22</v>
      </c>
      <c r="D81" s="14"/>
    </row>
    <row r="82" spans="1:4" x14ac:dyDescent="0.25">
      <c r="A82" s="1" t="s">
        <v>57</v>
      </c>
      <c r="B82" s="1">
        <v>1</v>
      </c>
      <c r="C82" s="3" t="s">
        <v>22</v>
      </c>
      <c r="D82" s="14"/>
    </row>
    <row r="83" spans="1:4" x14ac:dyDescent="0.25">
      <c r="A83" s="1" t="s">
        <v>59</v>
      </c>
      <c r="B83" s="1">
        <v>10</v>
      </c>
      <c r="C83" s="3" t="s">
        <v>53</v>
      </c>
      <c r="D83" s="14"/>
    </row>
    <row r="84" spans="1:4" x14ac:dyDescent="0.25">
      <c r="A84" s="1" t="s">
        <v>60</v>
      </c>
      <c r="B84" s="1">
        <v>5</v>
      </c>
      <c r="C84" s="3" t="s">
        <v>22</v>
      </c>
      <c r="D84" s="14"/>
    </row>
    <row r="85" spans="1:4" x14ac:dyDescent="0.25">
      <c r="A85" s="1" t="s">
        <v>61</v>
      </c>
      <c r="B85" s="1">
        <v>1</v>
      </c>
      <c r="C85" s="3" t="s">
        <v>22</v>
      </c>
      <c r="D85" s="14"/>
    </row>
    <row r="86" spans="1:4" x14ac:dyDescent="0.25">
      <c r="A86" s="1" t="s">
        <v>62</v>
      </c>
      <c r="B86" s="1">
        <v>4</v>
      </c>
      <c r="C86" s="3" t="s">
        <v>22</v>
      </c>
      <c r="D86" s="14"/>
    </row>
    <row r="87" spans="1:4" x14ac:dyDescent="0.25">
      <c r="A87" s="1" t="s">
        <v>63</v>
      </c>
      <c r="B87" s="1">
        <v>3</v>
      </c>
      <c r="C87" s="3" t="s">
        <v>22</v>
      </c>
      <c r="D87" s="14"/>
    </row>
    <row r="88" spans="1:4" x14ac:dyDescent="0.25">
      <c r="A88" s="1" t="s">
        <v>84</v>
      </c>
      <c r="B88" s="1">
        <v>1</v>
      </c>
      <c r="C88" s="3" t="s">
        <v>22</v>
      </c>
      <c r="D88" s="14"/>
    </row>
    <row r="89" spans="1:4" x14ac:dyDescent="0.25">
      <c r="A89" s="1" t="s">
        <v>64</v>
      </c>
      <c r="B89" s="1">
        <v>6</v>
      </c>
      <c r="C89" s="3" t="s">
        <v>22</v>
      </c>
      <c r="D89" s="14"/>
    </row>
    <row r="90" spans="1:4" x14ac:dyDescent="0.25">
      <c r="A90" s="1" t="s">
        <v>65</v>
      </c>
      <c r="B90" s="1">
        <v>2</v>
      </c>
      <c r="C90" s="3" t="s">
        <v>22</v>
      </c>
      <c r="D90" s="14"/>
    </row>
    <row r="91" spans="1:4" x14ac:dyDescent="0.25">
      <c r="A91" s="1" t="s">
        <v>88</v>
      </c>
      <c r="B91" s="1">
        <v>1</v>
      </c>
      <c r="C91" s="3" t="s">
        <v>22</v>
      </c>
      <c r="D91" s="26"/>
    </row>
    <row r="92" spans="1:4" x14ac:dyDescent="0.25">
      <c r="A92" s="1" t="s">
        <v>89</v>
      </c>
      <c r="B92" s="1">
        <v>4</v>
      </c>
      <c r="C92" s="3" t="s">
        <v>22</v>
      </c>
      <c r="D92" s="14"/>
    </row>
    <row r="93" spans="1:4" ht="30" x14ac:dyDescent="0.25">
      <c r="A93" s="7" t="s">
        <v>83</v>
      </c>
      <c r="B93" s="8" t="s">
        <v>82</v>
      </c>
      <c r="C93" s="8" t="s">
        <v>53</v>
      </c>
      <c r="D93" s="14"/>
    </row>
    <row r="94" spans="1:4" x14ac:dyDescent="0.25">
      <c r="A94" s="7" t="s">
        <v>193</v>
      </c>
      <c r="B94" s="8">
        <v>1</v>
      </c>
      <c r="C94" s="8" t="s">
        <v>22</v>
      </c>
      <c r="D94" s="14"/>
    </row>
    <row r="95" spans="1:4" x14ac:dyDescent="0.25">
      <c r="A95" s="7" t="s">
        <v>194</v>
      </c>
      <c r="B95" s="8">
        <v>1</v>
      </c>
      <c r="C95" s="8" t="s">
        <v>22</v>
      </c>
      <c r="D95" s="14"/>
    </row>
    <row r="96" spans="1:4" x14ac:dyDescent="0.25">
      <c r="A96" s="7" t="s">
        <v>66</v>
      </c>
      <c r="B96" s="8">
        <v>2</v>
      </c>
      <c r="C96" s="8" t="s">
        <v>22</v>
      </c>
      <c r="D96" s="14"/>
    </row>
    <row r="97" spans="1:4" x14ac:dyDescent="0.25">
      <c r="A97" s="7" t="s">
        <v>67</v>
      </c>
      <c r="B97" s="7">
        <v>2</v>
      </c>
      <c r="C97" s="8" t="s">
        <v>22</v>
      </c>
      <c r="D97" s="14"/>
    </row>
    <row r="98" spans="1:4" x14ac:dyDescent="0.25">
      <c r="A98" s="7" t="s">
        <v>70</v>
      </c>
      <c r="B98" s="8">
        <v>9</v>
      </c>
      <c r="C98" s="6" t="s">
        <v>22</v>
      </c>
      <c r="D98" s="14"/>
    </row>
    <row r="99" spans="1:4" x14ac:dyDescent="0.25">
      <c r="A99" s="7" t="s">
        <v>71</v>
      </c>
      <c r="B99" s="8">
        <v>3</v>
      </c>
      <c r="C99" s="6" t="s">
        <v>22</v>
      </c>
      <c r="D99" s="14"/>
    </row>
    <row r="100" spans="1:4" x14ac:dyDescent="0.25">
      <c r="A100" s="1" t="s">
        <v>73</v>
      </c>
      <c r="B100" s="1">
        <v>2</v>
      </c>
      <c r="C100" s="3" t="s">
        <v>22</v>
      </c>
      <c r="D100" s="14"/>
    </row>
    <row r="101" spans="1:4" x14ac:dyDescent="0.25">
      <c r="A101" s="1" t="s">
        <v>74</v>
      </c>
      <c r="B101" s="1">
        <v>25</v>
      </c>
      <c r="C101" s="3" t="s">
        <v>53</v>
      </c>
      <c r="D101" s="14"/>
    </row>
    <row r="102" spans="1:4" x14ac:dyDescent="0.25">
      <c r="A102" s="1" t="s">
        <v>75</v>
      </c>
      <c r="B102" s="1">
        <v>3</v>
      </c>
      <c r="C102" s="3" t="s">
        <v>76</v>
      </c>
      <c r="D102" s="14"/>
    </row>
    <row r="103" spans="1:4" x14ac:dyDescent="0.25">
      <c r="A103" s="1" t="s">
        <v>90</v>
      </c>
      <c r="B103" s="1">
        <v>1</v>
      </c>
      <c r="C103" s="3" t="s">
        <v>22</v>
      </c>
      <c r="D103" s="14"/>
    </row>
    <row r="104" spans="1:4" x14ac:dyDescent="0.25">
      <c r="A104" s="1" t="s">
        <v>91</v>
      </c>
      <c r="B104" s="1">
        <v>1</v>
      </c>
      <c r="C104" s="3" t="s">
        <v>22</v>
      </c>
      <c r="D104" s="14"/>
    </row>
    <row r="105" spans="1:4" x14ac:dyDescent="0.25">
      <c r="A105" s="1" t="s">
        <v>92</v>
      </c>
      <c r="B105" s="1">
        <v>8</v>
      </c>
      <c r="C105" s="3" t="s">
        <v>77</v>
      </c>
      <c r="D105" s="14"/>
    </row>
    <row r="106" spans="1:4" x14ac:dyDescent="0.25">
      <c r="A106" s="1" t="s">
        <v>196</v>
      </c>
      <c r="B106" s="1">
        <v>5</v>
      </c>
      <c r="C106" s="3" t="s">
        <v>22</v>
      </c>
      <c r="D106" s="14"/>
    </row>
    <row r="107" spans="1:4" x14ac:dyDescent="0.25">
      <c r="A107" s="1" t="s">
        <v>93</v>
      </c>
      <c r="B107" s="1">
        <v>1</v>
      </c>
      <c r="C107" s="3" t="s">
        <v>22</v>
      </c>
      <c r="D107" s="14"/>
    </row>
    <row r="108" spans="1:4" x14ac:dyDescent="0.25">
      <c r="A108" s="1" t="s">
        <v>78</v>
      </c>
      <c r="B108" s="1">
        <v>1</v>
      </c>
      <c r="C108" s="3" t="s">
        <v>22</v>
      </c>
      <c r="D108" s="14"/>
    </row>
    <row r="109" spans="1:4" x14ac:dyDescent="0.25">
      <c r="A109" s="1" t="s">
        <v>94</v>
      </c>
      <c r="B109" s="1">
        <v>2</v>
      </c>
      <c r="C109" s="3" t="s">
        <v>22</v>
      </c>
      <c r="D109" s="14"/>
    </row>
    <row r="110" spans="1:4" x14ac:dyDescent="0.25">
      <c r="A110" s="1" t="s">
        <v>79</v>
      </c>
      <c r="B110" s="1">
        <v>3</v>
      </c>
      <c r="C110" s="3" t="s">
        <v>22</v>
      </c>
      <c r="D110" s="14"/>
    </row>
    <row r="111" spans="1:4" x14ac:dyDescent="0.25">
      <c r="A111" s="1" t="s">
        <v>179</v>
      </c>
      <c r="B111" s="1">
        <v>4</v>
      </c>
      <c r="C111" s="3" t="s">
        <v>22</v>
      </c>
      <c r="D111" s="14"/>
    </row>
    <row r="112" spans="1:4" x14ac:dyDescent="0.25">
      <c r="A112" s="1" t="s">
        <v>80</v>
      </c>
      <c r="B112" s="1">
        <v>1</v>
      </c>
      <c r="C112" s="3" t="s">
        <v>22</v>
      </c>
      <c r="D112" s="14"/>
    </row>
    <row r="113" spans="1:4" x14ac:dyDescent="0.25">
      <c r="A113" s="1" t="s">
        <v>81</v>
      </c>
      <c r="B113" s="1">
        <v>1</v>
      </c>
      <c r="C113" s="3" t="s">
        <v>22</v>
      </c>
      <c r="D113" s="14"/>
    </row>
    <row r="114" spans="1:4" x14ac:dyDescent="0.25">
      <c r="A114" s="1" t="s">
        <v>180</v>
      </c>
      <c r="B114" s="1">
        <v>6</v>
      </c>
      <c r="C114" s="3" t="s">
        <v>22</v>
      </c>
      <c r="D114" s="14"/>
    </row>
    <row r="115" spans="1:4" x14ac:dyDescent="0.25">
      <c r="A115" s="1" t="s">
        <v>182</v>
      </c>
      <c r="B115" s="1">
        <v>21</v>
      </c>
      <c r="C115" s="3" t="s">
        <v>22</v>
      </c>
      <c r="D115" s="14"/>
    </row>
    <row r="116" spans="1:4" x14ac:dyDescent="0.25">
      <c r="A116" s="1" t="s">
        <v>181</v>
      </c>
      <c r="B116" s="1">
        <v>17</v>
      </c>
      <c r="C116" s="3" t="s">
        <v>22</v>
      </c>
      <c r="D116" s="14"/>
    </row>
  </sheetData>
  <mergeCells count="5">
    <mergeCell ref="A2:C2"/>
    <mergeCell ref="A3:C3"/>
    <mergeCell ref="A28:C28"/>
    <mergeCell ref="A49:C49"/>
    <mergeCell ref="A78:C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3D6C-C583-445D-89B9-BC380456C27D}">
  <dimension ref="A2:G107"/>
  <sheetViews>
    <sheetView topLeftCell="A59" zoomScale="80" zoomScaleNormal="80" workbookViewId="0">
      <selection activeCell="D66" sqref="D66"/>
    </sheetView>
  </sheetViews>
  <sheetFormatPr baseColWidth="10" defaultRowHeight="15" x14ac:dyDescent="0.25"/>
  <cols>
    <col min="1" max="1" width="78.85546875" customWidth="1"/>
    <col min="2" max="2" width="13.28515625" customWidth="1"/>
    <col min="3" max="3" width="42.85546875" customWidth="1"/>
  </cols>
  <sheetData>
    <row r="2" spans="1:7" x14ac:dyDescent="0.25">
      <c r="A2" s="15" t="s">
        <v>13</v>
      </c>
      <c r="B2" s="16"/>
      <c r="C2" s="17"/>
    </row>
    <row r="3" spans="1:7" x14ac:dyDescent="0.25">
      <c r="A3" s="18" t="s">
        <v>146</v>
      </c>
      <c r="B3" s="19"/>
      <c r="C3" s="20"/>
    </row>
    <row r="4" spans="1:7" x14ac:dyDescent="0.25">
      <c r="A4" s="2" t="s">
        <v>0</v>
      </c>
      <c r="B4" s="2" t="s">
        <v>1</v>
      </c>
      <c r="C4" s="4" t="s">
        <v>21</v>
      </c>
    </row>
    <row r="5" spans="1:7" x14ac:dyDescent="0.25">
      <c r="A5" s="1" t="s">
        <v>96</v>
      </c>
      <c r="B5" s="1">
        <v>2</v>
      </c>
      <c r="C5" s="3" t="s">
        <v>22</v>
      </c>
      <c r="D5" s="14"/>
      <c r="E5" s="25"/>
      <c r="F5" s="25"/>
      <c r="G5" s="25">
        <v>23</v>
      </c>
    </row>
    <row r="6" spans="1:7" x14ac:dyDescent="0.25">
      <c r="A6" s="1" t="s">
        <v>97</v>
      </c>
      <c r="B6" s="1">
        <v>5</v>
      </c>
      <c r="C6" s="3" t="s">
        <v>22</v>
      </c>
      <c r="D6" s="14"/>
      <c r="E6" s="25"/>
      <c r="F6" s="25"/>
      <c r="G6" s="25">
        <v>16</v>
      </c>
    </row>
    <row r="7" spans="1:7" x14ac:dyDescent="0.25">
      <c r="A7" s="1" t="s">
        <v>98</v>
      </c>
      <c r="B7" s="1">
        <v>2</v>
      </c>
      <c r="C7" s="3" t="s">
        <v>22</v>
      </c>
      <c r="D7" s="14"/>
      <c r="E7" s="25"/>
      <c r="F7" s="25"/>
      <c r="G7" s="25">
        <v>29</v>
      </c>
    </row>
    <row r="8" spans="1:7" x14ac:dyDescent="0.25">
      <c r="A8" s="1" t="s">
        <v>99</v>
      </c>
      <c r="B8" s="1">
        <v>2</v>
      </c>
      <c r="C8" s="3" t="s">
        <v>22</v>
      </c>
      <c r="D8" s="14"/>
      <c r="E8" s="25"/>
      <c r="F8" s="25"/>
      <c r="G8" s="25">
        <v>26</v>
      </c>
    </row>
    <row r="9" spans="1:7" x14ac:dyDescent="0.25">
      <c r="A9" s="1" t="s">
        <v>187</v>
      </c>
      <c r="B9" s="1">
        <v>15</v>
      </c>
      <c r="C9" s="3" t="s">
        <v>22</v>
      </c>
      <c r="D9" s="14"/>
      <c r="E9" s="25"/>
      <c r="F9" s="25"/>
      <c r="G9" s="25">
        <f>SUM(G5:G8)</f>
        <v>94</v>
      </c>
    </row>
    <row r="10" spans="1:7" x14ac:dyDescent="0.25">
      <c r="A10" s="1" t="s">
        <v>188</v>
      </c>
      <c r="B10" s="1">
        <v>5</v>
      </c>
      <c r="C10" s="3" t="s">
        <v>22</v>
      </c>
      <c r="D10" s="14"/>
      <c r="E10" s="25"/>
      <c r="F10" s="25"/>
      <c r="G10" s="25"/>
    </row>
    <row r="11" spans="1:7" x14ac:dyDescent="0.25">
      <c r="A11" s="1" t="s">
        <v>101</v>
      </c>
      <c r="B11" s="1">
        <v>21</v>
      </c>
      <c r="C11" s="3" t="s">
        <v>22</v>
      </c>
      <c r="D11" s="14"/>
      <c r="E11" s="25"/>
      <c r="F11" s="25"/>
      <c r="G11" s="25"/>
    </row>
    <row r="12" spans="1:7" x14ac:dyDescent="0.25">
      <c r="A12" s="1" t="s">
        <v>100</v>
      </c>
      <c r="B12" s="1">
        <v>20</v>
      </c>
      <c r="C12" s="3" t="s">
        <v>22</v>
      </c>
      <c r="D12" s="14"/>
      <c r="E12" s="25"/>
      <c r="F12" s="25"/>
      <c r="G12" s="25"/>
    </row>
    <row r="13" spans="1:7" x14ac:dyDescent="0.25">
      <c r="A13" s="1" t="s">
        <v>7</v>
      </c>
      <c r="B13" s="1">
        <v>20</v>
      </c>
      <c r="C13" s="3" t="s">
        <v>22</v>
      </c>
      <c r="D13" s="14"/>
      <c r="E13" s="25"/>
      <c r="F13" s="25"/>
      <c r="G13" s="25"/>
    </row>
    <row r="14" spans="1:7" x14ac:dyDescent="0.25">
      <c r="A14" s="1" t="s">
        <v>8</v>
      </c>
      <c r="B14" s="1">
        <v>10</v>
      </c>
      <c r="C14" s="3" t="s">
        <v>22</v>
      </c>
      <c r="D14" s="14"/>
      <c r="E14" s="25"/>
      <c r="F14" s="25"/>
      <c r="G14" s="25"/>
    </row>
    <row r="15" spans="1:7" ht="34.5" customHeight="1" x14ac:dyDescent="0.25">
      <c r="A15" s="7" t="s">
        <v>158</v>
      </c>
      <c r="B15" s="7">
        <v>28</v>
      </c>
      <c r="C15" s="9" t="s">
        <v>213</v>
      </c>
      <c r="D15" s="14"/>
      <c r="E15" s="25"/>
      <c r="F15" s="25"/>
      <c r="G15" s="25"/>
    </row>
    <row r="16" spans="1:7" x14ac:dyDescent="0.25">
      <c r="A16" s="1" t="s">
        <v>103</v>
      </c>
      <c r="B16" s="1">
        <v>82</v>
      </c>
      <c r="C16" s="3" t="s">
        <v>22</v>
      </c>
      <c r="D16" s="14"/>
      <c r="E16" s="25"/>
      <c r="F16" s="25"/>
      <c r="G16" s="25"/>
    </row>
    <row r="17" spans="1:7" x14ac:dyDescent="0.25">
      <c r="A17" s="1" t="s">
        <v>104</v>
      </c>
      <c r="B17" s="1">
        <v>70</v>
      </c>
      <c r="C17" s="3" t="s">
        <v>22</v>
      </c>
      <c r="D17" s="14"/>
      <c r="E17" s="25"/>
      <c r="F17" s="25"/>
      <c r="G17" s="25"/>
    </row>
    <row r="18" spans="1:7" x14ac:dyDescent="0.25">
      <c r="A18" s="1" t="s">
        <v>105</v>
      </c>
      <c r="B18" s="1">
        <v>51</v>
      </c>
      <c r="C18" s="3" t="s">
        <v>22</v>
      </c>
      <c r="D18" s="14"/>
      <c r="E18" s="25"/>
      <c r="F18" s="25"/>
      <c r="G18" s="25"/>
    </row>
    <row r="19" spans="1:7" x14ac:dyDescent="0.25">
      <c r="A19" s="1" t="s">
        <v>106</v>
      </c>
      <c r="B19" s="1">
        <v>51</v>
      </c>
      <c r="C19" s="3" t="s">
        <v>22</v>
      </c>
      <c r="D19" s="14"/>
      <c r="E19" s="25"/>
      <c r="F19" s="25"/>
      <c r="G19" s="25"/>
    </row>
    <row r="20" spans="1:7" x14ac:dyDescent="0.25">
      <c r="A20" s="1" t="s">
        <v>201</v>
      </c>
      <c r="B20" s="1">
        <v>4</v>
      </c>
      <c r="C20" s="3" t="s">
        <v>22</v>
      </c>
      <c r="D20" s="14"/>
      <c r="E20" s="25"/>
      <c r="F20" s="25"/>
      <c r="G20" s="25"/>
    </row>
    <row r="21" spans="1:7" x14ac:dyDescent="0.25">
      <c r="A21" s="1" t="s">
        <v>203</v>
      </c>
      <c r="B21" s="1">
        <v>2</v>
      </c>
      <c r="C21" s="3" t="s">
        <v>22</v>
      </c>
      <c r="D21" s="14"/>
      <c r="E21" s="25"/>
      <c r="F21" s="25"/>
      <c r="G21" s="25"/>
    </row>
    <row r="22" spans="1:7" x14ac:dyDescent="0.25">
      <c r="A22" s="1" t="s">
        <v>202</v>
      </c>
      <c r="B22" s="1">
        <v>5</v>
      </c>
      <c r="C22" s="3" t="s">
        <v>22</v>
      </c>
      <c r="D22" s="14"/>
      <c r="E22" s="25"/>
      <c r="F22" s="25"/>
      <c r="G22" s="25"/>
    </row>
    <row r="23" spans="1:7" x14ac:dyDescent="0.25">
      <c r="A23" s="1" t="s">
        <v>16</v>
      </c>
      <c r="B23" s="1">
        <v>2</v>
      </c>
      <c r="C23" s="3" t="s">
        <v>22</v>
      </c>
      <c r="D23" s="14"/>
      <c r="E23" s="25"/>
      <c r="F23" s="25"/>
      <c r="G23" s="25"/>
    </row>
    <row r="24" spans="1:7" ht="51" customHeight="1" x14ac:dyDescent="0.25">
      <c r="A24" s="13" t="s">
        <v>107</v>
      </c>
      <c r="B24" s="7">
        <v>131</v>
      </c>
      <c r="C24" s="9" t="s">
        <v>204</v>
      </c>
      <c r="D24" s="12"/>
      <c r="E24" s="25"/>
      <c r="F24" s="25"/>
      <c r="G24" s="25"/>
    </row>
    <row r="25" spans="1:7" ht="36.75" customHeight="1" x14ac:dyDescent="0.25">
      <c r="A25" s="7" t="s">
        <v>108</v>
      </c>
      <c r="B25" s="7">
        <v>74</v>
      </c>
      <c r="C25" s="9" t="s">
        <v>205</v>
      </c>
      <c r="D25" s="12"/>
    </row>
    <row r="26" spans="1:7" ht="35.25" customHeight="1" x14ac:dyDescent="0.25">
      <c r="A26" s="7" t="s">
        <v>109</v>
      </c>
      <c r="B26" s="7">
        <v>74</v>
      </c>
      <c r="C26" s="9" t="s">
        <v>205</v>
      </c>
      <c r="D26" s="12"/>
    </row>
    <row r="27" spans="1:7" x14ac:dyDescent="0.25">
      <c r="A27" s="1" t="s">
        <v>149</v>
      </c>
      <c r="B27" s="1">
        <v>394</v>
      </c>
      <c r="C27" s="3" t="s">
        <v>22</v>
      </c>
      <c r="D27" s="14"/>
    </row>
    <row r="28" spans="1:7" x14ac:dyDescent="0.25">
      <c r="C28" s="5"/>
    </row>
    <row r="29" spans="1:7" x14ac:dyDescent="0.25">
      <c r="A29" s="18" t="s">
        <v>147</v>
      </c>
      <c r="B29" s="19"/>
      <c r="C29" s="20"/>
    </row>
    <row r="30" spans="1:7" x14ac:dyDescent="0.25">
      <c r="A30" s="2" t="s">
        <v>0</v>
      </c>
      <c r="B30" s="2" t="s">
        <v>1</v>
      </c>
      <c r="C30" s="4" t="s">
        <v>21</v>
      </c>
    </row>
    <row r="31" spans="1:7" x14ac:dyDescent="0.25">
      <c r="A31" s="1" t="s">
        <v>33</v>
      </c>
      <c r="B31" s="1">
        <v>4</v>
      </c>
      <c r="C31" s="3" t="s">
        <v>22</v>
      </c>
      <c r="D31" s="14"/>
    </row>
    <row r="32" spans="1:7" x14ac:dyDescent="0.25">
      <c r="A32" s="1" t="s">
        <v>110</v>
      </c>
      <c r="B32" s="1">
        <v>1</v>
      </c>
      <c r="C32" s="3" t="s">
        <v>22</v>
      </c>
      <c r="D32" s="14"/>
    </row>
    <row r="33" spans="1:4" x14ac:dyDescent="0.25">
      <c r="A33" s="1" t="s">
        <v>32</v>
      </c>
      <c r="B33" s="1">
        <v>3</v>
      </c>
      <c r="C33" s="3" t="s">
        <v>22</v>
      </c>
      <c r="D33" s="14"/>
    </row>
    <row r="34" spans="1:4" x14ac:dyDescent="0.25">
      <c r="A34" s="1" t="s">
        <v>31</v>
      </c>
      <c r="B34" s="1">
        <v>14</v>
      </c>
      <c r="C34" s="3" t="s">
        <v>22</v>
      </c>
      <c r="D34" s="14"/>
    </row>
    <row r="35" spans="1:4" x14ac:dyDescent="0.25">
      <c r="A35" s="1" t="s">
        <v>101</v>
      </c>
      <c r="B35" s="1">
        <v>25</v>
      </c>
      <c r="C35" s="3" t="s">
        <v>22</v>
      </c>
      <c r="D35" s="14"/>
    </row>
    <row r="36" spans="1:4" x14ac:dyDescent="0.25">
      <c r="A36" s="1" t="s">
        <v>8</v>
      </c>
      <c r="B36" s="1">
        <v>3</v>
      </c>
      <c r="C36" s="3" t="s">
        <v>22</v>
      </c>
      <c r="D36" s="14"/>
    </row>
    <row r="37" spans="1:4" ht="75" x14ac:dyDescent="0.25">
      <c r="A37" s="7" t="s">
        <v>158</v>
      </c>
      <c r="B37" s="7">
        <v>57</v>
      </c>
      <c r="C37" s="9" t="s">
        <v>212</v>
      </c>
      <c r="D37" s="14"/>
    </row>
    <row r="38" spans="1:4" x14ac:dyDescent="0.25">
      <c r="A38" s="1" t="s">
        <v>103</v>
      </c>
      <c r="B38" s="1">
        <v>42</v>
      </c>
      <c r="C38" s="3" t="s">
        <v>22</v>
      </c>
      <c r="D38" s="14"/>
    </row>
    <row r="39" spans="1:4" x14ac:dyDescent="0.25">
      <c r="A39" s="1" t="s">
        <v>104</v>
      </c>
      <c r="B39" s="7">
        <v>145</v>
      </c>
      <c r="C39" s="8" t="s">
        <v>22</v>
      </c>
      <c r="D39" s="14"/>
    </row>
    <row r="40" spans="1:4" x14ac:dyDescent="0.25">
      <c r="A40" s="1" t="s">
        <v>116</v>
      </c>
      <c r="B40" s="1">
        <v>66</v>
      </c>
      <c r="C40" s="3" t="s">
        <v>22</v>
      </c>
      <c r="D40" s="14"/>
    </row>
    <row r="41" spans="1:4" x14ac:dyDescent="0.25">
      <c r="A41" s="1" t="s">
        <v>117</v>
      </c>
      <c r="B41" s="1">
        <v>39</v>
      </c>
      <c r="C41" s="3" t="s">
        <v>22</v>
      </c>
      <c r="D41" s="14"/>
    </row>
    <row r="42" spans="1:4" x14ac:dyDescent="0.25">
      <c r="A42" s="1" t="s">
        <v>26</v>
      </c>
      <c r="B42" s="3" t="s">
        <v>27</v>
      </c>
      <c r="C42" s="3" t="s">
        <v>27</v>
      </c>
      <c r="D42" s="14"/>
    </row>
    <row r="43" spans="1:4" ht="105" x14ac:dyDescent="0.25">
      <c r="A43" s="7" t="s">
        <v>128</v>
      </c>
      <c r="B43" s="7">
        <v>168</v>
      </c>
      <c r="C43" s="9" t="s">
        <v>208</v>
      </c>
      <c r="D43" s="12"/>
    </row>
    <row r="44" spans="1:4" ht="105" x14ac:dyDescent="0.25">
      <c r="A44" s="7" t="s">
        <v>129</v>
      </c>
      <c r="B44" s="7">
        <v>168</v>
      </c>
      <c r="C44" s="9" t="s">
        <v>206</v>
      </c>
      <c r="D44" s="12"/>
    </row>
    <row r="45" spans="1:4" ht="105" x14ac:dyDescent="0.25">
      <c r="A45" s="7" t="s">
        <v>130</v>
      </c>
      <c r="B45" s="7">
        <v>168</v>
      </c>
      <c r="C45" s="9" t="s">
        <v>206</v>
      </c>
      <c r="D45" s="12"/>
    </row>
    <row r="46" spans="1:4" x14ac:dyDescent="0.25">
      <c r="A46" s="1" t="s">
        <v>149</v>
      </c>
      <c r="B46" s="1">
        <v>396</v>
      </c>
      <c r="C46" s="3" t="s">
        <v>22</v>
      </c>
    </row>
    <row r="47" spans="1:4" x14ac:dyDescent="0.25">
      <c r="C47" s="5"/>
    </row>
    <row r="48" spans="1:4" x14ac:dyDescent="0.25">
      <c r="A48" s="18" t="s">
        <v>148</v>
      </c>
      <c r="B48" s="19"/>
      <c r="C48" s="20"/>
    </row>
    <row r="49" spans="1:4" x14ac:dyDescent="0.25">
      <c r="A49" s="2" t="s">
        <v>0</v>
      </c>
      <c r="B49" s="2" t="s">
        <v>1</v>
      </c>
      <c r="C49" s="4" t="s">
        <v>21</v>
      </c>
    </row>
    <row r="50" spans="1:4" x14ac:dyDescent="0.25">
      <c r="A50" s="1" t="s">
        <v>118</v>
      </c>
      <c r="B50" s="1">
        <v>1</v>
      </c>
      <c r="C50" s="3" t="s">
        <v>22</v>
      </c>
      <c r="D50" s="14"/>
    </row>
    <row r="51" spans="1:4" x14ac:dyDescent="0.25">
      <c r="A51" s="1" t="s">
        <v>119</v>
      </c>
      <c r="B51" s="1">
        <v>1</v>
      </c>
      <c r="C51" s="3" t="s">
        <v>22</v>
      </c>
      <c r="D51" s="14"/>
    </row>
    <row r="52" spans="1:4" x14ac:dyDescent="0.25">
      <c r="A52" s="1" t="s">
        <v>120</v>
      </c>
      <c r="B52" s="1">
        <v>1</v>
      </c>
      <c r="C52" s="3" t="s">
        <v>22</v>
      </c>
      <c r="D52" s="14"/>
    </row>
    <row r="53" spans="1:4" x14ac:dyDescent="0.25">
      <c r="A53" s="1" t="s">
        <v>121</v>
      </c>
      <c r="B53" s="1">
        <v>1</v>
      </c>
      <c r="C53" s="3" t="s">
        <v>22</v>
      </c>
      <c r="D53" s="14"/>
    </row>
    <row r="54" spans="1:4" x14ac:dyDescent="0.25">
      <c r="A54" s="1" t="s">
        <v>200</v>
      </c>
      <c r="B54" s="1">
        <v>1</v>
      </c>
      <c r="C54" s="3" t="s">
        <v>22</v>
      </c>
      <c r="D54" s="14"/>
    </row>
    <row r="55" spans="1:4" x14ac:dyDescent="0.25">
      <c r="A55" s="7" t="s">
        <v>122</v>
      </c>
      <c r="B55" s="1">
        <v>1</v>
      </c>
      <c r="C55" s="3" t="s">
        <v>22</v>
      </c>
      <c r="D55" s="14"/>
    </row>
    <row r="56" spans="1:4" x14ac:dyDescent="0.25">
      <c r="A56" s="1" t="s">
        <v>123</v>
      </c>
      <c r="B56" s="1">
        <v>1</v>
      </c>
      <c r="C56" s="3" t="s">
        <v>22</v>
      </c>
      <c r="D56" s="14"/>
    </row>
    <row r="57" spans="1:4" x14ac:dyDescent="0.25">
      <c r="A57" s="1" t="s">
        <v>124</v>
      </c>
      <c r="B57" s="1">
        <v>1</v>
      </c>
      <c r="C57" s="3" t="s">
        <v>22</v>
      </c>
      <c r="D57" s="14"/>
    </row>
    <row r="58" spans="1:4" x14ac:dyDescent="0.25">
      <c r="A58" s="1" t="s">
        <v>125</v>
      </c>
      <c r="B58" s="1">
        <v>1</v>
      </c>
      <c r="C58" s="3" t="s">
        <v>22</v>
      </c>
      <c r="D58" s="14"/>
    </row>
    <row r="59" spans="1:4" x14ac:dyDescent="0.25">
      <c r="A59" s="1" t="s">
        <v>138</v>
      </c>
      <c r="B59" s="1">
        <v>2</v>
      </c>
      <c r="C59" s="3" t="s">
        <v>22</v>
      </c>
      <c r="D59" s="14"/>
    </row>
    <row r="60" spans="1:4" x14ac:dyDescent="0.25">
      <c r="A60" s="1" t="s">
        <v>126</v>
      </c>
      <c r="B60" s="1">
        <v>1</v>
      </c>
      <c r="C60" s="3" t="s">
        <v>22</v>
      </c>
      <c r="D60" s="14"/>
    </row>
    <row r="61" spans="1:4" x14ac:dyDescent="0.25">
      <c r="A61" s="1" t="s">
        <v>127</v>
      </c>
      <c r="B61" s="1">
        <v>4</v>
      </c>
      <c r="C61" s="3" t="s">
        <v>22</v>
      </c>
      <c r="D61" s="14"/>
    </row>
    <row r="62" spans="1:4" x14ac:dyDescent="0.25">
      <c r="A62" s="1" t="s">
        <v>44</v>
      </c>
      <c r="B62" s="1">
        <v>2</v>
      </c>
      <c r="C62" s="3" t="s">
        <v>22</v>
      </c>
      <c r="D62" s="14"/>
    </row>
    <row r="63" spans="1:4" x14ac:dyDescent="0.25">
      <c r="A63" s="1" t="s">
        <v>45</v>
      </c>
      <c r="B63" s="1">
        <v>3</v>
      </c>
      <c r="C63" s="3" t="s">
        <v>22</v>
      </c>
      <c r="D63" s="14"/>
    </row>
    <row r="64" spans="1:4" x14ac:dyDescent="0.25">
      <c r="A64" s="1" t="s">
        <v>46</v>
      </c>
      <c r="B64" s="7">
        <v>5</v>
      </c>
      <c r="C64" s="3" t="s">
        <v>22</v>
      </c>
      <c r="D64" s="14"/>
    </row>
    <row r="65" spans="1:6" ht="60.75" customHeight="1" x14ac:dyDescent="0.25">
      <c r="A65" s="7" t="s">
        <v>133</v>
      </c>
      <c r="B65" s="8" t="s">
        <v>136</v>
      </c>
      <c r="C65" s="8" t="s">
        <v>135</v>
      </c>
      <c r="D65" s="12"/>
    </row>
    <row r="66" spans="1:6" x14ac:dyDescent="0.25">
      <c r="A66" s="7" t="s">
        <v>134</v>
      </c>
      <c r="B66" s="7">
        <v>1</v>
      </c>
      <c r="C66" s="8" t="s">
        <v>53</v>
      </c>
      <c r="D66" s="14"/>
    </row>
    <row r="67" spans="1:6" ht="45" x14ac:dyDescent="0.25">
      <c r="A67" s="7" t="s">
        <v>131</v>
      </c>
      <c r="B67" s="8" t="s">
        <v>55</v>
      </c>
      <c r="C67" s="8" t="s">
        <v>51</v>
      </c>
      <c r="D67" s="12"/>
    </row>
    <row r="68" spans="1:6" ht="45" x14ac:dyDescent="0.25">
      <c r="A68" s="7" t="s">
        <v>132</v>
      </c>
      <c r="B68" s="8" t="s">
        <v>199</v>
      </c>
      <c r="C68" s="8" t="s">
        <v>68</v>
      </c>
      <c r="D68" s="12"/>
    </row>
    <row r="69" spans="1:6" x14ac:dyDescent="0.25">
      <c r="A69" s="1" t="s">
        <v>137</v>
      </c>
      <c r="B69" s="1">
        <v>72</v>
      </c>
      <c r="C69" s="3" t="s">
        <v>22</v>
      </c>
      <c r="D69" s="14"/>
      <c r="E69" s="25"/>
      <c r="F69" s="25"/>
    </row>
    <row r="70" spans="1:6" x14ac:dyDescent="0.25">
      <c r="A70" s="1" t="s">
        <v>153</v>
      </c>
      <c r="B70" s="1">
        <v>4</v>
      </c>
      <c r="C70" s="3" t="s">
        <v>22</v>
      </c>
      <c r="D70" s="14"/>
      <c r="E70" s="25"/>
      <c r="F70" s="25"/>
    </row>
    <row r="71" spans="1:6" x14ac:dyDescent="0.25">
      <c r="A71" s="1" t="s">
        <v>140</v>
      </c>
      <c r="B71" s="1">
        <v>40</v>
      </c>
      <c r="C71" s="3" t="s">
        <v>22</v>
      </c>
      <c r="D71" s="14"/>
      <c r="E71" s="25"/>
      <c r="F71" s="25"/>
    </row>
    <row r="72" spans="1:6" x14ac:dyDescent="0.25">
      <c r="A72" s="1" t="s">
        <v>141</v>
      </c>
      <c r="B72" s="1">
        <v>16</v>
      </c>
      <c r="C72" s="3" t="s">
        <v>22</v>
      </c>
      <c r="D72" s="14"/>
      <c r="E72" s="25"/>
      <c r="F72" s="25"/>
    </row>
    <row r="73" spans="1:6" x14ac:dyDescent="0.25">
      <c r="A73" s="1" t="s">
        <v>142</v>
      </c>
      <c r="B73" s="1">
        <v>1</v>
      </c>
      <c r="C73" s="3" t="s">
        <v>22</v>
      </c>
      <c r="D73" s="14"/>
      <c r="E73" s="25"/>
      <c r="F73" s="25"/>
    </row>
    <row r="74" spans="1:6" x14ac:dyDescent="0.25">
      <c r="A74" s="1" t="s">
        <v>143</v>
      </c>
      <c r="B74" s="1">
        <v>8</v>
      </c>
      <c r="C74" s="3" t="s">
        <v>22</v>
      </c>
      <c r="D74" s="14"/>
      <c r="E74" s="25"/>
      <c r="F74" s="25"/>
    </row>
    <row r="75" spans="1:6" x14ac:dyDescent="0.25">
      <c r="A75" s="1" t="s">
        <v>144</v>
      </c>
      <c r="B75" s="1">
        <v>2</v>
      </c>
      <c r="C75" s="3" t="s">
        <v>22</v>
      </c>
      <c r="D75" s="14"/>
      <c r="E75" s="25"/>
      <c r="F75" s="25"/>
    </row>
    <row r="76" spans="1:6" x14ac:dyDescent="0.25">
      <c r="A76" s="1" t="s">
        <v>145</v>
      </c>
      <c r="B76" s="1">
        <v>1</v>
      </c>
      <c r="C76" s="3" t="s">
        <v>22</v>
      </c>
      <c r="D76" s="14"/>
    </row>
    <row r="77" spans="1:6" x14ac:dyDescent="0.25">
      <c r="A77" s="1" t="s">
        <v>149</v>
      </c>
      <c r="B77" s="1">
        <v>17</v>
      </c>
      <c r="C77" s="3" t="s">
        <v>22</v>
      </c>
      <c r="D77" s="14"/>
    </row>
    <row r="78" spans="1:6" x14ac:dyDescent="0.25">
      <c r="A78" s="7" t="s">
        <v>103</v>
      </c>
      <c r="B78" s="7">
        <v>10</v>
      </c>
      <c r="C78" s="8" t="s">
        <v>207</v>
      </c>
      <c r="D78" s="14"/>
    </row>
    <row r="79" spans="1:6" x14ac:dyDescent="0.25">
      <c r="C79" s="5"/>
    </row>
    <row r="80" spans="1:6" x14ac:dyDescent="0.25">
      <c r="A80" s="18" t="s">
        <v>157</v>
      </c>
      <c r="B80" s="19"/>
      <c r="C80" s="20"/>
    </row>
    <row r="81" spans="1:6" x14ac:dyDescent="0.25">
      <c r="A81" s="2" t="s">
        <v>0</v>
      </c>
      <c r="B81" s="2" t="s">
        <v>1</v>
      </c>
      <c r="C81" s="4" t="s">
        <v>21</v>
      </c>
    </row>
    <row r="82" spans="1:6" x14ac:dyDescent="0.25">
      <c r="A82" s="1" t="s">
        <v>150</v>
      </c>
      <c r="B82" s="1">
        <v>1</v>
      </c>
      <c r="C82" s="3" t="s">
        <v>22</v>
      </c>
      <c r="D82" s="14"/>
    </row>
    <row r="83" spans="1:6" x14ac:dyDescent="0.25">
      <c r="A83" s="1" t="s">
        <v>198</v>
      </c>
      <c r="B83" s="1">
        <v>1</v>
      </c>
      <c r="C83" s="3" t="s">
        <v>22</v>
      </c>
      <c r="D83" s="14"/>
    </row>
    <row r="84" spans="1:6" x14ac:dyDescent="0.25">
      <c r="A84" s="1" t="s">
        <v>151</v>
      </c>
      <c r="B84" s="1">
        <v>1</v>
      </c>
      <c r="C84" s="3" t="s">
        <v>22</v>
      </c>
      <c r="D84" s="14"/>
    </row>
    <row r="85" spans="1:6" x14ac:dyDescent="0.25">
      <c r="A85" s="1" t="s">
        <v>152</v>
      </c>
      <c r="B85" s="1">
        <v>25</v>
      </c>
      <c r="C85" s="3" t="s">
        <v>53</v>
      </c>
      <c r="D85" s="14"/>
    </row>
    <row r="86" spans="1:6" x14ac:dyDescent="0.25">
      <c r="A86" s="1" t="s">
        <v>154</v>
      </c>
      <c r="B86" s="1">
        <v>5</v>
      </c>
      <c r="C86" s="3" t="s">
        <v>22</v>
      </c>
      <c r="D86" s="14"/>
    </row>
    <row r="87" spans="1:6" x14ac:dyDescent="0.25">
      <c r="A87" s="1" t="s">
        <v>155</v>
      </c>
      <c r="B87" s="1">
        <v>1</v>
      </c>
      <c r="C87" s="3" t="s">
        <v>22</v>
      </c>
      <c r="D87" s="14"/>
    </row>
    <row r="88" spans="1:6" x14ac:dyDescent="0.25">
      <c r="A88" s="1" t="s">
        <v>156</v>
      </c>
      <c r="B88" s="1">
        <v>2</v>
      </c>
      <c r="C88" s="3" t="s">
        <v>22</v>
      </c>
      <c r="D88" s="14"/>
    </row>
    <row r="89" spans="1:6" x14ac:dyDescent="0.25">
      <c r="A89" s="1" t="s">
        <v>160</v>
      </c>
      <c r="B89" s="1">
        <v>3</v>
      </c>
      <c r="C89" s="3" t="s">
        <v>22</v>
      </c>
      <c r="D89" s="14"/>
    </row>
    <row r="90" spans="1:6" x14ac:dyDescent="0.25">
      <c r="A90" s="1" t="s">
        <v>169</v>
      </c>
      <c r="B90" s="1">
        <v>4</v>
      </c>
      <c r="C90" s="3" t="s">
        <v>22</v>
      </c>
      <c r="D90" s="14"/>
    </row>
    <row r="91" spans="1:6" x14ac:dyDescent="0.25">
      <c r="A91" s="1" t="s">
        <v>161</v>
      </c>
      <c r="B91" s="1">
        <v>5</v>
      </c>
      <c r="C91" s="3" t="s">
        <v>22</v>
      </c>
      <c r="D91" s="14"/>
    </row>
    <row r="92" spans="1:6" x14ac:dyDescent="0.25">
      <c r="A92" s="1" t="s">
        <v>162</v>
      </c>
      <c r="B92" s="1">
        <v>4</v>
      </c>
      <c r="C92" s="3" t="s">
        <v>22</v>
      </c>
      <c r="D92" s="14"/>
    </row>
    <row r="93" spans="1:6" ht="30" x14ac:dyDescent="0.25">
      <c r="A93" s="7" t="s">
        <v>163</v>
      </c>
      <c r="B93" s="8" t="s">
        <v>159</v>
      </c>
      <c r="C93" s="8" t="s">
        <v>53</v>
      </c>
      <c r="D93" s="14"/>
    </row>
    <row r="94" spans="1:6" x14ac:dyDescent="0.25">
      <c r="A94" s="7" t="s">
        <v>164</v>
      </c>
      <c r="B94" s="8">
        <v>2</v>
      </c>
      <c r="C94" s="8" t="s">
        <v>22</v>
      </c>
      <c r="D94" s="14"/>
      <c r="F94" s="11"/>
    </row>
    <row r="95" spans="1:6" x14ac:dyDescent="0.25">
      <c r="A95" s="7" t="s">
        <v>165</v>
      </c>
      <c r="B95" s="7">
        <v>2</v>
      </c>
      <c r="C95" s="8" t="s">
        <v>22</v>
      </c>
      <c r="D95" s="14"/>
    </row>
    <row r="96" spans="1:6" x14ac:dyDescent="0.25">
      <c r="A96" s="7" t="s">
        <v>166</v>
      </c>
      <c r="B96" s="8">
        <v>9</v>
      </c>
      <c r="C96" s="6" t="s">
        <v>22</v>
      </c>
      <c r="D96" s="14"/>
    </row>
    <row r="97" spans="1:4" x14ac:dyDescent="0.25">
      <c r="A97" s="1" t="s">
        <v>167</v>
      </c>
      <c r="B97" s="1">
        <v>1</v>
      </c>
      <c r="C97" s="3" t="s">
        <v>22</v>
      </c>
      <c r="D97" s="14"/>
    </row>
    <row r="98" spans="1:4" x14ac:dyDescent="0.25">
      <c r="A98" s="1" t="s">
        <v>168</v>
      </c>
      <c r="B98" s="1">
        <v>12</v>
      </c>
      <c r="C98" s="3" t="s">
        <v>53</v>
      </c>
      <c r="D98" s="14"/>
    </row>
    <row r="99" spans="1:4" x14ac:dyDescent="0.25">
      <c r="A99" s="1" t="s">
        <v>170</v>
      </c>
      <c r="B99" s="1">
        <v>8</v>
      </c>
      <c r="C99" s="3" t="s">
        <v>22</v>
      </c>
      <c r="D99" s="14"/>
    </row>
    <row r="100" spans="1:4" x14ac:dyDescent="0.25">
      <c r="A100" s="1" t="s">
        <v>171</v>
      </c>
      <c r="B100" s="1">
        <v>1</v>
      </c>
      <c r="C100" s="3" t="s">
        <v>22</v>
      </c>
      <c r="D100" s="14"/>
    </row>
    <row r="101" spans="1:4" x14ac:dyDescent="0.25">
      <c r="A101" s="1" t="s">
        <v>172</v>
      </c>
      <c r="B101" s="1">
        <v>1</v>
      </c>
      <c r="C101" s="3" t="s">
        <v>22</v>
      </c>
      <c r="D101" s="14"/>
    </row>
    <row r="102" spans="1:4" x14ac:dyDescent="0.25">
      <c r="A102" s="1" t="s">
        <v>173</v>
      </c>
      <c r="B102" s="1">
        <v>1</v>
      </c>
      <c r="C102" s="3" t="s">
        <v>22</v>
      </c>
      <c r="D102" s="14"/>
    </row>
    <row r="103" spans="1:4" x14ac:dyDescent="0.25">
      <c r="A103" s="1" t="s">
        <v>174</v>
      </c>
      <c r="B103" s="1">
        <v>1</v>
      </c>
      <c r="C103" s="3" t="s">
        <v>22</v>
      </c>
      <c r="D103" s="14"/>
    </row>
    <row r="104" spans="1:4" x14ac:dyDescent="0.25">
      <c r="A104" s="1" t="s">
        <v>175</v>
      </c>
      <c r="B104" s="1">
        <v>1</v>
      </c>
      <c r="C104" s="3" t="s">
        <v>22</v>
      </c>
      <c r="D104" s="14"/>
    </row>
    <row r="105" spans="1:4" x14ac:dyDescent="0.25">
      <c r="A105" s="1" t="s">
        <v>178</v>
      </c>
      <c r="B105" s="1">
        <v>29</v>
      </c>
      <c r="C105" s="3" t="s">
        <v>22</v>
      </c>
      <c r="D105" s="14"/>
    </row>
    <row r="106" spans="1:4" x14ac:dyDescent="0.25">
      <c r="A106" s="1" t="s">
        <v>177</v>
      </c>
      <c r="B106" s="1">
        <v>6</v>
      </c>
      <c r="C106" s="3" t="s">
        <v>22</v>
      </c>
      <c r="D106" s="14"/>
    </row>
    <row r="107" spans="1:4" x14ac:dyDescent="0.25">
      <c r="A107" s="1" t="s">
        <v>176</v>
      </c>
      <c r="B107" s="3">
        <v>2</v>
      </c>
      <c r="C107" s="3" t="s">
        <v>22</v>
      </c>
      <c r="D107" s="14"/>
    </row>
  </sheetData>
  <mergeCells count="5">
    <mergeCell ref="A2:C2"/>
    <mergeCell ref="A3:C3"/>
    <mergeCell ref="A29:C29"/>
    <mergeCell ref="A48:C48"/>
    <mergeCell ref="A80:C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vivienda 1</vt:lpstr>
      <vt:lpstr>vivienda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kuhl</dc:creator>
  <cp:lastModifiedBy>justin kuhl</cp:lastModifiedBy>
  <dcterms:created xsi:type="dcterms:W3CDTF">2026-07-28T18:29:40Z</dcterms:created>
  <dcterms:modified xsi:type="dcterms:W3CDTF">2026-09-23T15:39:13Z</dcterms:modified>
</cp:coreProperties>
</file>